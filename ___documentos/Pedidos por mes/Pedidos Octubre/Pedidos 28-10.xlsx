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7" documentId="8_{9D38116E-7D06-4CCC-A8C2-FDD6BE718A7C}" xr6:coauthVersionLast="47" xr6:coauthVersionMax="47" xr10:uidLastSave="{CE36D1B8-4A86-46E8-8B4F-424F987354A1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L14" i="1" l="1"/>
  <c r="L13" i="1"/>
  <c r="K13" i="1"/>
  <c r="G9" i="1"/>
  <c r="G6" i="1"/>
  <c r="G4" i="1"/>
  <c r="A1" i="1"/>
</calcChain>
</file>

<file path=xl/sharedStrings.xml><?xml version="1.0" encoding="utf-8"?>
<sst xmlns="http://schemas.openxmlformats.org/spreadsheetml/2006/main" count="33" uniqueCount="32">
  <si>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</si>
  <si>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</si>
  <si>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</si>
  <si>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</si>
  <si>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</si>
  <si>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</si>
  <si>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</si>
  <si>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</si>
  <si>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</si>
  <si>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</si>
  <si>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</si>
  <si>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</si>
  <si>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Patricio contreras</t>
  </si>
  <si>
    <t>Alfonso Brintrup 1999</t>
  </si>
  <si>
    <t>promo choritos</t>
  </si>
  <si>
    <t>WEBPAY</t>
  </si>
  <si>
    <t>Max Perez</t>
  </si>
  <si>
    <t>Trapen sector procuro</t>
  </si>
  <si>
    <t>9 5843 8958</t>
  </si>
  <si>
    <t>promo atun</t>
  </si>
  <si>
    <t>promo mariscos</t>
  </si>
  <si>
    <t>promo salmon</t>
  </si>
  <si>
    <t>debito</t>
  </si>
  <si>
    <t>Hasta las 5</t>
  </si>
  <si>
    <t>caja kids</t>
  </si>
  <si>
    <t>Hector meriño</t>
  </si>
  <si>
    <t>Pasaje Calcita 5021</t>
  </si>
  <si>
    <t>Viviana Roa</t>
  </si>
  <si>
    <t>Rantal 1539 bosquemar</t>
  </si>
  <si>
    <t>9 9091 9009</t>
  </si>
  <si>
    <t>Bolsillo feliz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</si>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</sst>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3">
    <xf numFmtId="0" fontId="0" fillId="0" borderId="0" xfId="0"/>
    <xf numFmtId="14" fontId="3" fillId="0" borderId="0" xfId="0" applyNumberFormat="1" applyFon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11" fillId="0" borderId="0" xfId="0" applyFont="1"/>
    <xf numFmtId="0" fontId="12" fillId="0" borderId="0" xfId="1"/>
    <xf numFmtId="0" fontId="13" fillId="0" borderId="0" xfId="0" applyFont="1"/>
    <xf numFmtId="0" fontId="2" fillId="0" borderId="0" xfId="0" applyFont="1"/>
    <xf numFmtId="0" fontId="14" fillId="0" borderId="0" xfId="0" applyFont="1"/>
    <xf numFmtId="0" fontId="7" fillId="0" borderId="5" xfId="0" applyFont="1" applyBorder="1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  <xf numFmtId="10" fontId="0" fillId="0" borderId="0" xfId="2" applyNumberFormat="1" applyFont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67851698" TargetMode="External"/><Relationship Id="rId1" Type="http://schemas.openxmlformats.org/officeDocument/2006/relationships/hyperlink" Target="tel:+56%20967568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workbookViewId="0">
      <selection activeCell="M14" sqref="M14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>
      <c r="A1" s="1">
        <f ca="1">TODAY()</f>
        <v>45958</v>
      </c>
    </row>
    <row r="2" spans="1:12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2" ht="14.25" customHeight="1" thickBot="1" x14ac:dyDescent="0.35">
      <c r="A3" s="6" t="s">
        <v>12</v>
      </c>
      <c r="B3" s="12" t="s">
        <v>13</v>
      </c>
      <c r="C3" s="13">
        <v>967568932</v>
      </c>
      <c r="D3" s="14" t="s">
        <v>14</v>
      </c>
      <c r="E3" s="6">
        <v>2</v>
      </c>
      <c r="F3" s="6">
        <v>14000</v>
      </c>
      <c r="G3" s="6"/>
      <c r="H3" s="7"/>
      <c r="I3" s="7"/>
    </row>
    <row r="4" spans="1:12" ht="14.25" customHeight="1" thickBot="1" x14ac:dyDescent="0.35">
      <c r="A4" s="8"/>
      <c r="B4" s="8"/>
      <c r="C4" s="8"/>
      <c r="D4" s="8"/>
      <c r="E4" s="8"/>
      <c r="F4" s="8"/>
      <c r="G4" s="17">
        <f>F3*E3</f>
        <v>28000</v>
      </c>
      <c r="I4" s="15" t="s">
        <v>15</v>
      </c>
    </row>
    <row r="5" spans="1:12" ht="14.25" customHeight="1" x14ac:dyDescent="0.3">
      <c r="A5" s="8"/>
      <c r="B5" s="8"/>
      <c r="C5" s="8"/>
      <c r="D5" s="8"/>
      <c r="E5" s="8"/>
      <c r="F5" s="8"/>
      <c r="G5" s="8"/>
    </row>
    <row r="6" spans="1:12" ht="14.25" customHeight="1" x14ac:dyDescent="0.3">
      <c r="A6" s="16" t="s">
        <v>16</v>
      </c>
      <c r="B6" s="8" t="s">
        <v>17</v>
      </c>
      <c r="C6" s="8" t="s">
        <v>18</v>
      </c>
      <c r="D6" s="16" t="s">
        <v>19</v>
      </c>
      <c r="E6" s="8">
        <v>0.5</v>
      </c>
      <c r="F6" s="8">
        <v>10000</v>
      </c>
      <c r="G6" s="9">
        <f>F6*E6</f>
        <v>5000</v>
      </c>
      <c r="I6" s="15" t="s">
        <v>22</v>
      </c>
      <c r="J6" t="s">
        <v>23</v>
      </c>
    </row>
    <row r="7" spans="1:12" ht="14.25" customHeight="1" x14ac:dyDescent="0.3">
      <c r="A7" s="8"/>
      <c r="C7" s="8"/>
      <c r="D7" s="16" t="s">
        <v>20</v>
      </c>
      <c r="E7" s="8">
        <v>1</v>
      </c>
      <c r="F7" s="8">
        <v>16000</v>
      </c>
      <c r="G7" s="8">
        <v>16000</v>
      </c>
    </row>
    <row r="8" spans="1:12" ht="14.25" customHeight="1" thickBot="1" x14ac:dyDescent="0.35">
      <c r="A8" s="8"/>
      <c r="B8" s="8"/>
      <c r="C8" s="8"/>
      <c r="D8" s="16" t="s">
        <v>21</v>
      </c>
      <c r="E8" s="8">
        <v>1</v>
      </c>
      <c r="F8" s="8">
        <v>24000</v>
      </c>
      <c r="G8" s="8">
        <v>24000</v>
      </c>
    </row>
    <row r="9" spans="1:12" ht="14.25" customHeight="1" thickBot="1" x14ac:dyDescent="0.35">
      <c r="A9" s="6"/>
      <c r="B9" s="6"/>
      <c r="C9" s="6"/>
      <c r="D9" s="6"/>
      <c r="E9" s="6"/>
      <c r="F9" s="6"/>
      <c r="G9" s="17">
        <f>SUM(G6:G8)</f>
        <v>45000</v>
      </c>
      <c r="H9" s="10"/>
      <c r="I9" s="10"/>
    </row>
    <row r="10" spans="1:12" ht="14.25" customHeight="1" x14ac:dyDescent="0.3">
      <c r="A10" s="8"/>
      <c r="B10" s="7"/>
      <c r="C10" s="6"/>
      <c r="D10" s="6"/>
      <c r="E10" s="6"/>
      <c r="F10" s="6"/>
      <c r="G10" s="6"/>
    </row>
    <row r="11" spans="1:12" ht="14.25" customHeight="1" x14ac:dyDescent="0.3">
      <c r="A11" s="8"/>
      <c r="B11" s="6"/>
      <c r="C11" s="8"/>
      <c r="D11" s="6"/>
      <c r="E11" s="6"/>
      <c r="F11" s="6"/>
      <c r="G11" s="8"/>
    </row>
    <row r="12" spans="1:12" ht="14.25" customHeight="1" x14ac:dyDescent="0.3">
      <c r="A12" s="8" t="s">
        <v>25</v>
      </c>
      <c r="B12" s="12" t="s">
        <v>26</v>
      </c>
      <c r="C12" s="13">
        <v>967851698</v>
      </c>
      <c r="D12" s="6" t="s">
        <v>24</v>
      </c>
      <c r="E12" s="6">
        <v>1</v>
      </c>
      <c r="F12" s="6">
        <v>33900</v>
      </c>
      <c r="G12" s="8"/>
      <c r="I12" s="18" t="s">
        <v>15</v>
      </c>
    </row>
    <row r="13" spans="1:12" ht="14.25" customHeight="1" x14ac:dyDescent="0.3">
      <c r="A13" s="8"/>
      <c r="B13" s="8"/>
      <c r="C13" s="6"/>
      <c r="D13" s="8"/>
      <c r="E13" s="8"/>
      <c r="F13" s="8"/>
      <c r="G13" s="6">
        <v>33900</v>
      </c>
      <c r="H13" s="7"/>
      <c r="K13">
        <f>SUM(G4,G9,G13,G17)</f>
        <v>138400</v>
      </c>
      <c r="L13" s="22">
        <f>5000/K13</f>
        <v>3.6127167630057806E-2</v>
      </c>
    </row>
    <row r="14" spans="1:12" ht="14.25" customHeight="1" x14ac:dyDescent="0.3">
      <c r="A14" s="8"/>
      <c r="B14" s="8"/>
      <c r="C14" s="8"/>
      <c r="D14" s="8"/>
      <c r="E14" s="8"/>
      <c r="F14" s="8"/>
      <c r="G14" s="8"/>
      <c r="L14" s="22">
        <f>10000/K13</f>
        <v>7.2254335260115612E-2</v>
      </c>
    </row>
    <row r="15" spans="1:12" ht="14.25" customHeight="1" x14ac:dyDescent="0.3">
      <c r="A15" s="6"/>
      <c r="B15" s="6"/>
      <c r="C15" s="6"/>
      <c r="D15" s="7"/>
      <c r="E15" s="7"/>
      <c r="F15" s="7"/>
    </row>
    <row r="16" spans="1:12" ht="14.25" customHeight="1" x14ac:dyDescent="0.3">
      <c r="A16" s="8" t="s">
        <v>27</v>
      </c>
      <c r="B16" s="8" t="s">
        <v>28</v>
      </c>
      <c r="C16" s="8" t="s">
        <v>29</v>
      </c>
      <c r="D16" s="7" t="s">
        <v>30</v>
      </c>
      <c r="E16" s="7">
        <v>1</v>
      </c>
      <c r="F16" s="7">
        <v>31500</v>
      </c>
      <c r="G16" s="11"/>
      <c r="I16" t="s">
        <v>31</v>
      </c>
    </row>
    <row r="17" spans="3:8" ht="14.25" customHeight="1" x14ac:dyDescent="0.3">
      <c r="G17" s="7">
        <v>31500</v>
      </c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9" t="s">
        <v>10</v>
      </c>
      <c r="E58" s="20"/>
      <c r="F58" s="20"/>
      <c r="G58" s="20"/>
    </row>
    <row r="59" spans="4:7" ht="14.25" customHeight="1" x14ac:dyDescent="0.3">
      <c r="D59" s="21" t="s">
        <v>11</v>
      </c>
      <c r="E59" s="20"/>
      <c r="F59" s="20"/>
      <c r="G59" s="20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67568932" xr:uid="{9E23847B-7474-4184-AAF0-68F69AB554F9}"/>
    <hyperlink ref="C12" r:id="rId2" display="tel:+56 967851698" xr:uid="{9FA24FB0-98B9-4588-9DE1-121EFD529C02}"/>
  </hyperlinks>
  <pageMargins left="0.25" right="0.25" top="0.75" bottom="0.75" header="0" footer="0"/>
  <pageSetup scale="7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2025-10-28T17:51:32Z</cp:lastPrinted>
  <dcterms:created xsi:type="dcterms:W3CDTF">2025-09-06T15:36:57Z</dcterms:created>
  <dcterms:modified xsi:type="dcterms:W3CDTF">2025-10-28T18:40:05Z</dcterms:modified>
</cp:coreProperties>
</file>
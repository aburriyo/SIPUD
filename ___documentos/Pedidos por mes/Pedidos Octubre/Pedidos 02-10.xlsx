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104" documentId="8_{9BC4811C-83EB-4AD5-B84F-F01E52F33B43}" xr6:coauthVersionLast="47" xr6:coauthVersionMax="47" xr10:uidLastSave="{3472111D-7E57-4AA9-B1EE-9A341E1F81C2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35" i="1" l="1"/>
  <c r="N3" i="1"/>
  <c r="G28" i="1"/>
  <c r="G24" i="1"/>
  <c r="G23" i="1"/>
  <c r="G22" i="1"/>
  <c r="G14" i="1"/>
  <c r="G8" i="1"/>
</calcChain>
</file>

<file path=xl/sharedStrings.xml><?xml version="1.0" encoding="utf-8"?>
<sst xmlns="http://schemas.openxmlformats.org/spreadsheetml/2006/main" count="62" uniqueCount="55">
  <si>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</si>
  <si>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</si>
  <si>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</si>
  <si>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</si>
  <si>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</si>
  <si>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</si>
  <si>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</si>
  <si>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</si>
  <si>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EDT</t>
  </si>
  <si>
    <t>_______________________________________________________</t>
  </si>
  <si>
    <t>Firma</t>
  </si>
  <si>
    <t>M. Pago</t>
  </si>
  <si>
    <t>Fabián Guzmán</t>
  </si>
  <si>
    <t xml:space="preserve">Pilmaiquen 1461, esquina catemu  </t>
  </si>
  <si>
    <t>9 4257 5777</t>
  </si>
  <si>
    <t>Caja semanal</t>
  </si>
  <si>
    <t>PAGADO</t>
  </si>
  <si>
    <t>URGENTE</t>
  </si>
  <si>
    <t>Marcela Derne</t>
  </si>
  <si>
    <t>9 7435 5762</t>
  </si>
  <si>
    <t>promo aceite</t>
  </si>
  <si>
    <t>Romina Mayorga</t>
  </si>
  <si>
    <t>pasaje volcán puyehue</t>
  </si>
  <si>
    <t xml:space="preserve">Poblacion bosque nativo </t>
  </si>
  <si>
    <t>promo atun</t>
  </si>
  <si>
    <t>promo jibia</t>
  </si>
  <si>
    <t>promo arroz</t>
  </si>
  <si>
    <t>raul ramirez</t>
  </si>
  <si>
    <t>gustavo mardones</t>
  </si>
  <si>
    <t>lago peñuelas 1999</t>
  </si>
  <si>
    <t>alerce nueva dos 1016</t>
  </si>
  <si>
    <t>alerce sur</t>
  </si>
  <si>
    <t>debito</t>
  </si>
  <si>
    <t>10:00 a 24:00</t>
  </si>
  <si>
    <t>12:00 a 20:00</t>
  </si>
  <si>
    <t>Debito</t>
  </si>
  <si>
    <t>Cristina</t>
  </si>
  <si>
    <t xml:space="preserve">Ricardo Newman </t>
  </si>
  <si>
    <t>frente parque la rosa pasaje los pinos</t>
  </si>
  <si>
    <t>del colegio Puerto varas hacia arriba</t>
  </si>
  <si>
    <t>9 5987 4207</t>
  </si>
  <si>
    <t>caja mensual</t>
  </si>
  <si>
    <t>Fredy Vargas</t>
  </si>
  <si>
    <t>pasaje golfo de ancud 1013</t>
  </si>
  <si>
    <t>9 9587 9707</t>
  </si>
  <si>
    <t>caja semanal</t>
  </si>
  <si>
    <t>efectivo</t>
  </si>
  <si>
    <t>1500 en adelante</t>
  </si>
  <si>
    <t>tengo mapa</t>
  </si>
  <si>
    <t>Patricio contreras</t>
  </si>
  <si>
    <t> 967568932</t>
  </si>
  <si>
    <t>Alfonso Brintrup 1999</t>
  </si>
  <si>
    <t>promo salmon</t>
  </si>
  <si>
    <t>promo mariscos</t>
  </si>
  <si>
    <t>NO ENTREGADO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</si>
</sst>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1"/>
      <color theme="1"/>
      <name val="Aptos Narrow"/>
      <scheme val="minor"/>
    </font>
    <font>
      <sz val="9"/>
      <color theme="1"/>
      <name val="Aptos Narrow"/>
    </font>
    <font>
      <sz val="11"/>
      <color theme="1"/>
      <name val="Arial"/>
      <family val="2"/>
    </font>
    <font>
      <sz val="10"/>
      <color rgb="FF333333"/>
      <name val="Arial"/>
      <family val="2"/>
    </font>
    <font>
      <sz val="9"/>
      <color rgb="FF03466F"/>
      <name val="Arial"/>
      <family val="2"/>
    </font>
    <font>
      <sz val="12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0" xfId="0" applyFont="1"/>
    <xf numFmtId="0" fontId="5" fillId="0" borderId="0" xfId="0" applyFont="1"/>
    <xf numFmtId="0" fontId="7" fillId="0" borderId="0" xfId="0" applyFont="1"/>
    <xf numFmtId="20" fontId="0" fillId="0" borderId="0" xfId="0" applyNumberFormat="1"/>
    <xf numFmtId="0" fontId="8" fillId="0" borderId="0" xfId="0" applyFont="1"/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2" fillId="0" borderId="0" xfId="0" applyFont="1"/>
    <xf numFmtId="0" fontId="11" fillId="0" borderId="0" xfId="1"/>
    <xf numFmtId="0" fontId="1" fillId="0" borderId="0" xfId="0" applyFont="1"/>
    <xf numFmtId="0" fontId="4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/>
    </xf>
    <xf numFmtId="0" fontId="4" fillId="0" borderId="5" xfId="0" applyFont="1" applyBorder="1"/>
    <xf numFmtId="0" fontId="0" fillId="0" borderId="5" xfId="0" applyBorder="1"/>
    <xf numFmtId="0" fontId="12" fillId="2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56%209675689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zoomScale="74" workbookViewId="0">
      <selection activeCell="K18" sqref="K18"/>
    </sheetView>
  </sheetViews>
  <sheetFormatPr baseColWidth="10" defaultColWidth="12.6640625" defaultRowHeight="15" customHeight="1" x14ac:dyDescent="0.3"/>
  <cols>
    <col min="1" max="1" width="16.88671875" customWidth="1"/>
    <col min="2" max="2" width="32.44140625" customWidth="1"/>
    <col min="3" max="3" width="14.44140625" customWidth="1"/>
    <col min="4" max="4" width="14.77734375" customWidth="1"/>
    <col min="5" max="5" width="13.77734375" customWidth="1"/>
    <col min="6" max="6" width="14.2187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4" ht="14.25" customHeight="1" x14ac:dyDescent="0.3"/>
    <row r="2" spans="1:14" ht="14.25" customHeight="1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1" t="s">
        <v>7</v>
      </c>
      <c r="I2" s="2" t="s">
        <v>11</v>
      </c>
      <c r="J2" s="4" t="s">
        <v>8</v>
      </c>
    </row>
    <row r="3" spans="1:14" ht="14.25" customHeight="1" x14ac:dyDescent="0.3">
      <c r="A3" t="s">
        <v>12</v>
      </c>
      <c r="B3" t="s">
        <v>13</v>
      </c>
      <c r="C3" s="7" t="s">
        <v>14</v>
      </c>
      <c r="D3" t="s">
        <v>15</v>
      </c>
      <c r="E3">
        <v>1</v>
      </c>
      <c r="F3">
        <v>0</v>
      </c>
      <c r="H3" t="s">
        <v>17</v>
      </c>
      <c r="I3" t="s">
        <v>16</v>
      </c>
      <c r="J3" s="8">
        <v>0.6875</v>
      </c>
      <c r="N3">
        <f>SUM(G8,G14,G19,G24,G28)</f>
        <v>225100</v>
      </c>
    </row>
    <row r="4" spans="1:14" ht="14.25" customHeight="1" x14ac:dyDescent="0.3">
      <c r="A4" s="5"/>
      <c r="B4" s="5"/>
      <c r="C4" s="5"/>
      <c r="D4" s="5"/>
      <c r="E4" s="5"/>
      <c r="F4" s="5"/>
      <c r="G4">
        <v>0</v>
      </c>
    </row>
    <row r="5" spans="1:14" ht="14.25" customHeight="1" x14ac:dyDescent="0.3">
      <c r="A5" s="5"/>
      <c r="B5" s="5"/>
      <c r="C5" s="5"/>
      <c r="D5" s="5"/>
      <c r="E5" s="5"/>
      <c r="F5" s="5"/>
      <c r="G5" s="5"/>
    </row>
    <row r="6" spans="1:14" ht="14.25" customHeight="1" x14ac:dyDescent="0.3">
      <c r="A6" s="5"/>
      <c r="B6" s="5"/>
      <c r="C6" s="5"/>
      <c r="D6" s="5"/>
      <c r="E6" s="5"/>
      <c r="F6" s="5"/>
    </row>
    <row r="7" spans="1:14" ht="14.25" customHeight="1" thickBot="1" x14ac:dyDescent="0.35">
      <c r="A7" s="5" t="s">
        <v>18</v>
      </c>
      <c r="B7" s="11" t="s">
        <v>30</v>
      </c>
      <c r="C7" s="5" t="s">
        <v>19</v>
      </c>
      <c r="D7" s="5" t="s">
        <v>20</v>
      </c>
      <c r="E7" s="5">
        <v>2</v>
      </c>
      <c r="F7" s="5">
        <v>19900</v>
      </c>
      <c r="I7" s="12" t="s">
        <v>32</v>
      </c>
      <c r="J7" s="12" t="s">
        <v>33</v>
      </c>
    </row>
    <row r="8" spans="1:14" ht="14.25" customHeight="1" thickBot="1" x14ac:dyDescent="0.35">
      <c r="A8" s="5"/>
      <c r="B8" s="11" t="s">
        <v>31</v>
      </c>
      <c r="C8" s="5"/>
      <c r="D8" s="5"/>
      <c r="E8" s="5"/>
      <c r="F8" s="5"/>
      <c r="G8" s="18">
        <f>F7*E7</f>
        <v>39800</v>
      </c>
    </row>
    <row r="9" spans="1:14" ht="14.25" customHeight="1" x14ac:dyDescent="0.3">
      <c r="A9" s="5"/>
      <c r="B9" s="5"/>
      <c r="C9" s="5"/>
      <c r="D9" s="5"/>
      <c r="E9" s="5"/>
      <c r="F9" s="5"/>
      <c r="G9" s="5"/>
    </row>
    <row r="10" spans="1:14" ht="14.25" customHeight="1" x14ac:dyDescent="0.3">
      <c r="A10" s="5"/>
      <c r="B10" s="5"/>
      <c r="C10" s="5"/>
      <c r="D10" s="5"/>
      <c r="E10" s="5"/>
      <c r="F10" s="5"/>
      <c r="G10" s="5"/>
    </row>
    <row r="11" spans="1:14" ht="14.25" customHeight="1" x14ac:dyDescent="0.3">
      <c r="A11" s="5" t="s">
        <v>21</v>
      </c>
      <c r="B11" s="9" t="s">
        <v>22</v>
      </c>
      <c r="C11" s="10">
        <v>971853835</v>
      </c>
      <c r="D11" s="11" t="s">
        <v>24</v>
      </c>
      <c r="E11" s="5">
        <v>1</v>
      </c>
      <c r="F11" s="5">
        <v>10000</v>
      </c>
      <c r="G11" s="5"/>
      <c r="I11" s="20" t="s">
        <v>54</v>
      </c>
    </row>
    <row r="12" spans="1:14" ht="14.25" customHeight="1" x14ac:dyDescent="0.3">
      <c r="A12" s="5"/>
      <c r="B12" s="5" t="s">
        <v>23</v>
      </c>
      <c r="C12" s="5"/>
      <c r="D12" s="11" t="s">
        <v>25</v>
      </c>
      <c r="E12" s="5">
        <v>1</v>
      </c>
      <c r="F12" s="5">
        <v>10000</v>
      </c>
      <c r="G12" s="5"/>
    </row>
    <row r="13" spans="1:14" ht="14.25" customHeight="1" thickBot="1" x14ac:dyDescent="0.35">
      <c r="A13" s="5"/>
      <c r="B13" s="5"/>
      <c r="C13" s="5"/>
      <c r="D13" s="11" t="s">
        <v>26</v>
      </c>
      <c r="E13" s="5">
        <v>1</v>
      </c>
      <c r="F13" s="5">
        <v>10000</v>
      </c>
      <c r="G13" s="5"/>
    </row>
    <row r="14" spans="1:14" ht="14.25" customHeight="1" thickBot="1" x14ac:dyDescent="0.35">
      <c r="A14" s="5"/>
      <c r="B14" s="5"/>
      <c r="C14" s="5"/>
      <c r="D14" s="5"/>
      <c r="E14" s="5"/>
      <c r="F14" s="5"/>
      <c r="G14" s="18">
        <f>SUM(F11:F13)</f>
        <v>30000</v>
      </c>
    </row>
    <row r="15" spans="1:14" ht="14.25" customHeight="1" x14ac:dyDescent="0.3">
      <c r="A15" s="5"/>
      <c r="B15" s="5"/>
      <c r="C15" s="5"/>
    </row>
    <row r="16" spans="1:14" ht="14.25" customHeight="1" x14ac:dyDescent="0.3">
      <c r="A16" s="5"/>
      <c r="B16" s="5"/>
      <c r="C16" s="5"/>
      <c r="D16" s="6"/>
      <c r="E16" s="6"/>
      <c r="F16" s="6"/>
      <c r="G16" s="6"/>
    </row>
    <row r="17" spans="1:12" ht="14.25" customHeight="1" x14ac:dyDescent="0.3">
      <c r="A17" t="s">
        <v>28</v>
      </c>
      <c r="B17" t="s">
        <v>29</v>
      </c>
      <c r="C17">
        <v>945170710</v>
      </c>
      <c r="D17" t="s">
        <v>20</v>
      </c>
      <c r="E17">
        <v>1</v>
      </c>
      <c r="F17">
        <v>19900</v>
      </c>
      <c r="H17" t="s">
        <v>27</v>
      </c>
      <c r="I17" s="12" t="s">
        <v>35</v>
      </c>
      <c r="J17" s="12" t="s">
        <v>34</v>
      </c>
    </row>
    <row r="18" spans="1:12" ht="14.25" customHeight="1" thickBot="1" x14ac:dyDescent="0.35">
      <c r="D18" t="s">
        <v>24</v>
      </c>
      <c r="E18">
        <v>1</v>
      </c>
      <c r="F18">
        <v>10000</v>
      </c>
    </row>
    <row r="19" spans="1:12" ht="14.25" customHeight="1" thickBot="1" x14ac:dyDescent="0.35">
      <c r="G19" s="19">
        <v>29900</v>
      </c>
    </row>
    <row r="20" spans="1:12" ht="14.25" customHeight="1" x14ac:dyDescent="0.3"/>
    <row r="21" spans="1:12" ht="14.25" customHeight="1" x14ac:dyDescent="0.3"/>
    <row r="22" spans="1:12" ht="14.25" customHeight="1" x14ac:dyDescent="0.3">
      <c r="A22" t="s">
        <v>36</v>
      </c>
      <c r="B22" t="s">
        <v>37</v>
      </c>
      <c r="C22" t="s">
        <v>40</v>
      </c>
      <c r="D22" t="s">
        <v>41</v>
      </c>
      <c r="E22">
        <v>1</v>
      </c>
      <c r="F22">
        <v>80000</v>
      </c>
      <c r="G22">
        <f>F22</f>
        <v>80000</v>
      </c>
      <c r="I22" t="s">
        <v>32</v>
      </c>
      <c r="J22">
        <v>1500</v>
      </c>
    </row>
    <row r="23" spans="1:12" ht="14.25" customHeight="1" thickBot="1" x14ac:dyDescent="0.35">
      <c r="B23" t="s">
        <v>38</v>
      </c>
      <c r="D23" t="s">
        <v>24</v>
      </c>
      <c r="E23">
        <v>2</v>
      </c>
      <c r="F23">
        <v>10000</v>
      </c>
      <c r="G23">
        <f>F23*E23</f>
        <v>20000</v>
      </c>
    </row>
    <row r="24" spans="1:12" ht="14.25" customHeight="1" thickBot="1" x14ac:dyDescent="0.35">
      <c r="B24" t="s">
        <v>39</v>
      </c>
      <c r="G24" s="19">
        <f>SUM(G22:G23)</f>
        <v>100000</v>
      </c>
    </row>
    <row r="25" spans="1:12" ht="14.25" customHeight="1" x14ac:dyDescent="0.3"/>
    <row r="26" spans="1:12" ht="14.25" customHeight="1" x14ac:dyDescent="0.3"/>
    <row r="27" spans="1:12" ht="14.25" customHeight="1" thickBot="1" x14ac:dyDescent="0.35">
      <c r="A27" t="s">
        <v>42</v>
      </c>
      <c r="B27" t="s">
        <v>43</v>
      </c>
      <c r="C27" t="s">
        <v>44</v>
      </c>
      <c r="D27" t="s">
        <v>45</v>
      </c>
      <c r="E27">
        <v>1</v>
      </c>
      <c r="F27">
        <v>25400</v>
      </c>
      <c r="I27" t="s">
        <v>46</v>
      </c>
      <c r="J27" t="s">
        <v>47</v>
      </c>
      <c r="L27" t="s">
        <v>48</v>
      </c>
    </row>
    <row r="28" spans="1:12" ht="14.25" customHeight="1" thickBot="1" x14ac:dyDescent="0.35">
      <c r="G28" s="19">
        <f>F27</f>
        <v>25400</v>
      </c>
    </row>
    <row r="29" spans="1:12" ht="14.25" customHeight="1" x14ac:dyDescent="0.3"/>
    <row r="30" spans="1:12" ht="14.25" customHeight="1" x14ac:dyDescent="0.3"/>
    <row r="31" spans="1:12" ht="14.25" customHeight="1" x14ac:dyDescent="0.3">
      <c r="A31" t="s">
        <v>49</v>
      </c>
      <c r="B31" s="9" t="s">
        <v>51</v>
      </c>
      <c r="C31" s="13" t="s">
        <v>50</v>
      </c>
      <c r="D31" s="14" t="s">
        <v>24</v>
      </c>
      <c r="E31">
        <v>1</v>
      </c>
      <c r="F31">
        <v>10000</v>
      </c>
      <c r="I31" s="14" t="s">
        <v>16</v>
      </c>
    </row>
    <row r="32" spans="1:12" ht="14.25" customHeight="1" x14ac:dyDescent="0.3">
      <c r="D32" s="14" t="s">
        <v>52</v>
      </c>
      <c r="E32">
        <v>1</v>
      </c>
      <c r="F32">
        <v>24000</v>
      </c>
    </row>
    <row r="33" spans="4:7" ht="14.25" customHeight="1" x14ac:dyDescent="0.3">
      <c r="D33" s="14" t="s">
        <v>25</v>
      </c>
      <c r="E33">
        <v>1</v>
      </c>
      <c r="F33">
        <v>10000</v>
      </c>
    </row>
    <row r="34" spans="4:7" ht="14.25" customHeight="1" thickBot="1" x14ac:dyDescent="0.35">
      <c r="D34" s="14" t="s">
        <v>53</v>
      </c>
      <c r="E34">
        <v>1</v>
      </c>
      <c r="F34">
        <v>16000</v>
      </c>
    </row>
    <row r="35" spans="4:7" ht="14.25" customHeight="1" thickBot="1" x14ac:dyDescent="0.35">
      <c r="G35" s="19">
        <f>SUM(F31:F34)</f>
        <v>60000</v>
      </c>
    </row>
    <row r="36" spans="4:7" ht="14.25" customHeight="1" x14ac:dyDescent="0.3"/>
    <row r="37" spans="4:7" ht="14.25" customHeight="1" x14ac:dyDescent="0.3"/>
    <row r="38" spans="4:7" ht="14.25" customHeight="1" x14ac:dyDescent="0.3"/>
    <row r="39" spans="4:7" ht="14.25" customHeight="1" x14ac:dyDescent="0.3"/>
    <row r="40" spans="4:7" ht="14.25" customHeight="1" x14ac:dyDescent="0.3"/>
    <row r="41" spans="4:7" ht="14.25" customHeight="1" x14ac:dyDescent="0.3"/>
    <row r="42" spans="4:7" ht="14.25" customHeight="1" x14ac:dyDescent="0.3"/>
    <row r="43" spans="4:7" ht="14.25" customHeight="1" x14ac:dyDescent="0.3"/>
    <row r="44" spans="4:7" ht="14.25" customHeight="1" x14ac:dyDescent="0.3"/>
    <row r="45" spans="4:7" ht="14.25" customHeight="1" x14ac:dyDescent="0.3"/>
    <row r="46" spans="4:7" ht="14.25" customHeight="1" x14ac:dyDescent="0.3"/>
    <row r="47" spans="4:7" ht="14.25" customHeight="1" x14ac:dyDescent="0.3"/>
    <row r="48" spans="4:7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>
      <c r="D52" s="15" t="s">
        <v>9</v>
      </c>
      <c r="E52" s="16"/>
      <c r="F52" s="16"/>
      <c r="G52" s="16"/>
    </row>
    <row r="53" spans="4:7" ht="14.25" customHeight="1" x14ac:dyDescent="0.3">
      <c r="D53" s="17" t="s">
        <v>10</v>
      </c>
      <c r="E53" s="16"/>
      <c r="F53" s="16"/>
      <c r="G53" s="16"/>
    </row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/>
    <row r="59" spans="4:7" ht="14.25" customHeight="1" x14ac:dyDescent="0.3"/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2:G52"/>
    <mergeCell ref="D53:G53"/>
  </mergeCells>
  <hyperlinks>
    <hyperlink ref="C31" r:id="rId1" display="tel:+56 967568932" xr:uid="{C9E1936C-E765-4FFB-B925-24E642EF6C32}"/>
  </hyperlinks>
  <pageMargins left="0.70866141732283472" right="0.70866141732283472" top="0.74803149606299213" bottom="0.74803149606299213" header="0" footer="0"/>
  <pageSetup scale="75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2025-10-02T16:43:26Z</cp:lastPrinted>
  <dcterms:created xsi:type="dcterms:W3CDTF">2025-09-06T15:36:57Z</dcterms:created>
  <dcterms:modified xsi:type="dcterms:W3CDTF">2025-10-03T12:45:52Z</dcterms:modified>
</cp:coreProperties>
</file>
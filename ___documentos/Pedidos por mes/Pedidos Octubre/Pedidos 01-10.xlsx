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41" documentId="8_{02B745FA-0427-43EE-9D3C-8514E3D9A369}" xr6:coauthVersionLast="47" xr6:coauthVersionMax="47" xr10:uidLastSave="{1E7060D9-7D21-436A-BF8A-6770B73E89AA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54" i="1" l="1"/>
  <c r="G48" i="1"/>
  <c r="G50" i="1" s="1"/>
  <c r="G46" i="1"/>
  <c r="G34" i="1"/>
  <c r="G33" i="1"/>
  <c r="G26" i="1"/>
  <c r="G19" i="1"/>
  <c r="G15" i="1"/>
  <c r="G4" i="1"/>
  <c r="G3" i="1"/>
  <c r="G5" i="1" s="1"/>
  <c r="G35" i="1" l="1"/>
</calcChain>
</file>

<file path=xl/sharedStrings.xml><?xml version="1.0" encoding="utf-8"?>
<sst xmlns="http://schemas.openxmlformats.org/spreadsheetml/2006/main" count="112" uniqueCount="89">
  <si>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</si>
  <si>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</si>
  <si>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</si>
  <si>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</si>
  <si>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</si>
  <si>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</si>
  <si>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</si>
  <si>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</si>
  <si>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</si>
  <si>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</si>
  <si>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</si>
  <si>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</si>
  <si>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transferencia</t>
  </si>
  <si>
    <t>Francisco Unda</t>
  </si>
  <si>
    <t>Maipo 1165 Puerto Varas</t>
  </si>
  <si>
    <t>9 3011 3280</t>
  </si>
  <si>
    <t>promo atun</t>
  </si>
  <si>
    <t>promo salmon</t>
  </si>
  <si>
    <t>valeria riquelme</t>
  </si>
  <si>
    <t>telefono de ricardo</t>
  </si>
  <si>
    <t>calle lago puyehue 15</t>
  </si>
  <si>
    <t>poblacion pichipelluco</t>
  </si>
  <si>
    <t>casa roja con marcos blancos</t>
  </si>
  <si>
    <t>de 2 pisos</t>
  </si>
  <si>
    <t>caja mensual</t>
  </si>
  <si>
    <t>efectivo</t>
  </si>
  <si>
    <t>entre 15 y 20</t>
  </si>
  <si>
    <t>Yuri arias</t>
  </si>
  <si>
    <t>Puerta sur</t>
  </si>
  <si>
    <t>andrea aguayo 6183</t>
  </si>
  <si>
    <t>promo fideos</t>
  </si>
  <si>
    <t>promo aceite</t>
  </si>
  <si>
    <t>Maria castro</t>
  </si>
  <si>
    <t>Avenida transversal 3001</t>
  </si>
  <si>
    <t>alerce sur</t>
  </si>
  <si>
    <t>9 7455 5163</t>
  </si>
  <si>
    <t>Fabián Guzmán</t>
  </si>
  <si>
    <t>Cecilia Reuque</t>
  </si>
  <si>
    <t xml:space="preserve">Calle Calbuco 1887 </t>
  </si>
  <si>
    <t>artesanos de alerce</t>
  </si>
  <si>
    <t>9 3056 1177</t>
  </si>
  <si>
    <t>Caja mensual</t>
  </si>
  <si>
    <t>Debito</t>
  </si>
  <si>
    <t>a las 17.30</t>
  </si>
  <si>
    <t>villa antillanca</t>
  </si>
  <si>
    <t xml:space="preserve">Pilmaiquen 1461, esquina catemu  </t>
  </si>
  <si>
    <t>9 4257 5777</t>
  </si>
  <si>
    <t>Caja semanal</t>
  </si>
  <si>
    <t>promo arroz</t>
  </si>
  <si>
    <t>Maria Ulloa</t>
  </si>
  <si>
    <t>Federico Heinlen funcke 3014</t>
  </si>
  <si>
    <t>9 4462 4409</t>
  </si>
  <si>
    <t>fideo mix</t>
  </si>
  <si>
    <t>Navegando futuro 4</t>
  </si>
  <si>
    <t>Pamela Hidalgo</t>
  </si>
  <si>
    <t>9 9133 9480</t>
  </si>
  <si>
    <t>espirales</t>
  </si>
  <si>
    <t>debito</t>
  </si>
  <si>
    <t xml:space="preserve">Club Campo parcela 80 </t>
  </si>
  <si>
    <t>lote 3, es muy cerca de la entrada</t>
  </si>
  <si>
    <t>Es un domo</t>
  </si>
  <si>
    <t>Miguel Igor</t>
  </si>
  <si>
    <t>German casanova 1554</t>
  </si>
  <si>
    <t>Mirador de volcanes (bosquemar)</t>
  </si>
  <si>
    <t>9 7616 0012</t>
  </si>
  <si>
    <t xml:space="preserve">Nelson varela </t>
  </si>
  <si>
    <t>9 9164 3436</t>
  </si>
  <si>
    <t>Yovany</t>
  </si>
  <si>
    <t>9 8335 5308</t>
  </si>
  <si>
    <t>Los peumos 1101</t>
  </si>
  <si>
    <t>caja semanal</t>
  </si>
  <si>
    <t>debito o transferencia</t>
  </si>
  <si>
    <t>15 en adelante</t>
  </si>
  <si>
    <t>ENTRE 3  Y 4 PM</t>
  </si>
  <si>
    <t>o avisar 30 mins antes de llegar</t>
  </si>
  <si>
    <t>todo el dia</t>
  </si>
  <si>
    <t>Calle chica 1003</t>
  </si>
  <si>
    <t>Poblacion antonio varas</t>
  </si>
  <si>
    <t>entre 1500 y 1800</t>
  </si>
  <si>
    <t>Alerce, tiene un porton verde</t>
  </si>
  <si>
    <t>15:00 a 20:00</t>
  </si>
  <si>
    <t>15:00 a 18:00</t>
  </si>
  <si>
    <t>Cualquier horario</t>
  </si>
  <si>
    <t>ultimo</t>
  </si>
  <si>
    <t>entrre 16 y 20</t>
  </si>
  <si>
    <t>Cristian</t>
  </si>
  <si>
    <t>aramco</t>
  </si>
  <si>
    <t>9 7985 1300</t>
  </si>
  <si>
    <t>NO SE PUDO ENTREGAR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</si>
</sst>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5" xfId="0" applyFont="1" applyBorder="1"/>
    <xf numFmtId="0" fontId="6" fillId="0" borderId="0" xfId="0" applyFont="1"/>
    <xf numFmtId="18" fontId="0" fillId="0" borderId="0" xfId="0" applyNumberFormat="1"/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74" workbookViewId="0">
      <selection activeCell="G37" sqref="G37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9.88671875" customWidth="1"/>
    <col min="10" max="10" width="20.88671875" customWidth="1"/>
    <col min="11" max="26" width="10.6640625" customWidth="1"/>
  </cols>
  <sheetData>
    <row r="1" spans="1:10" ht="14.25" customHeight="1" x14ac:dyDescent="0.3"/>
    <row r="2" spans="1:10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0" ht="14.25" customHeight="1" x14ac:dyDescent="0.3">
      <c r="A3" s="5" t="s">
        <v>13</v>
      </c>
      <c r="B3" s="9" t="s">
        <v>14</v>
      </c>
      <c r="C3" s="5" t="s">
        <v>15</v>
      </c>
      <c r="D3" s="5" t="s">
        <v>16</v>
      </c>
      <c r="E3" s="5">
        <v>3</v>
      </c>
      <c r="F3" s="5">
        <v>10000</v>
      </c>
      <c r="G3" s="5">
        <f>F3*E3</f>
        <v>30000</v>
      </c>
      <c r="I3" t="s">
        <v>12</v>
      </c>
      <c r="J3" t="s">
        <v>83</v>
      </c>
    </row>
    <row r="4" spans="1:10" ht="14.25" customHeight="1" thickBot="1" x14ac:dyDescent="0.35">
      <c r="A4" s="5"/>
      <c r="B4" s="5"/>
      <c r="C4" s="5"/>
      <c r="D4" s="5" t="s">
        <v>17</v>
      </c>
      <c r="E4" s="5">
        <v>1</v>
      </c>
      <c r="F4" s="5">
        <v>24000</v>
      </c>
      <c r="G4" s="5">
        <f t="shared" ref="G4" si="0">F4*E4</f>
        <v>24000</v>
      </c>
    </row>
    <row r="5" spans="1:10" ht="14.25" customHeight="1" thickBot="1" x14ac:dyDescent="0.35">
      <c r="A5" s="5"/>
      <c r="B5" s="5"/>
      <c r="C5" s="5"/>
      <c r="D5" s="5"/>
      <c r="E5" s="5"/>
      <c r="F5" s="5"/>
      <c r="G5" s="8">
        <f>SUM(G3:G4)</f>
        <v>54000</v>
      </c>
    </row>
    <row r="6" spans="1:10" ht="14.25" customHeight="1" x14ac:dyDescent="0.3">
      <c r="A6" s="5"/>
      <c r="B6" s="5"/>
      <c r="C6" s="5"/>
      <c r="D6" s="5"/>
      <c r="E6" s="5"/>
      <c r="F6" s="5"/>
    </row>
    <row r="7" spans="1:10" ht="14.25" customHeight="1" x14ac:dyDescent="0.3">
      <c r="A7" s="5"/>
      <c r="B7" s="5"/>
      <c r="C7" s="5"/>
      <c r="D7" s="5"/>
      <c r="E7" s="5"/>
      <c r="F7" s="5"/>
    </row>
    <row r="8" spans="1:10" ht="14.25" customHeight="1" thickBot="1" x14ac:dyDescent="0.35">
      <c r="A8" s="5" t="s">
        <v>18</v>
      </c>
      <c r="B8" s="5" t="s">
        <v>20</v>
      </c>
      <c r="C8" s="5">
        <v>954518401</v>
      </c>
      <c r="D8" s="5" t="s">
        <v>24</v>
      </c>
      <c r="E8" s="5">
        <v>1</v>
      </c>
      <c r="F8" s="5">
        <v>81200</v>
      </c>
      <c r="G8" s="5"/>
      <c r="I8" t="s">
        <v>25</v>
      </c>
      <c r="J8" t="s">
        <v>26</v>
      </c>
    </row>
    <row r="9" spans="1:10" ht="14.25" customHeight="1" thickBot="1" x14ac:dyDescent="0.35">
      <c r="A9" s="5" t="s">
        <v>19</v>
      </c>
      <c r="B9" s="5" t="s">
        <v>21</v>
      </c>
      <c r="C9" s="5"/>
      <c r="D9" s="5"/>
      <c r="E9" s="5"/>
      <c r="F9" s="5"/>
      <c r="G9" s="8">
        <v>81200</v>
      </c>
    </row>
    <row r="10" spans="1:10" ht="14.25" customHeight="1" x14ac:dyDescent="0.3">
      <c r="A10" s="5"/>
      <c r="B10" s="5" t="s">
        <v>22</v>
      </c>
      <c r="C10" s="5"/>
      <c r="D10" s="5"/>
      <c r="E10" s="5"/>
      <c r="F10" s="5"/>
      <c r="G10" s="5"/>
    </row>
    <row r="11" spans="1:10" ht="14.25" customHeight="1" x14ac:dyDescent="0.3">
      <c r="A11" s="5"/>
      <c r="B11" s="5" t="s">
        <v>23</v>
      </c>
      <c r="C11" s="5"/>
      <c r="D11" s="5"/>
      <c r="E11" s="5"/>
      <c r="F11" s="5"/>
      <c r="G11" s="5"/>
    </row>
    <row r="12" spans="1:10" ht="14.25" customHeight="1" x14ac:dyDescent="0.3">
      <c r="A12" s="5" t="s">
        <v>27</v>
      </c>
      <c r="B12" s="5" t="s">
        <v>29</v>
      </c>
      <c r="C12" s="5">
        <v>976732627</v>
      </c>
      <c r="D12" s="5" t="s">
        <v>16</v>
      </c>
      <c r="E12" s="5">
        <v>1</v>
      </c>
      <c r="F12" s="5">
        <v>10000</v>
      </c>
      <c r="G12" s="5"/>
      <c r="I12" t="s">
        <v>25</v>
      </c>
      <c r="J12" s="10" t="s">
        <v>43</v>
      </c>
    </row>
    <row r="13" spans="1:10" ht="14.25" customHeight="1" x14ac:dyDescent="0.3">
      <c r="A13" s="5"/>
      <c r="B13" s="5" t="s">
        <v>28</v>
      </c>
      <c r="C13" s="5"/>
      <c r="D13" s="5" t="s">
        <v>30</v>
      </c>
      <c r="E13" s="5">
        <v>1</v>
      </c>
      <c r="F13" s="5">
        <v>7500</v>
      </c>
      <c r="G13" s="5"/>
    </row>
    <row r="14" spans="1:10" ht="14.25" customHeight="1" thickBot="1" x14ac:dyDescent="0.35">
      <c r="A14" s="5"/>
      <c r="B14" s="5"/>
      <c r="C14" s="5"/>
      <c r="D14" s="5" t="s">
        <v>31</v>
      </c>
      <c r="E14" s="5">
        <v>1</v>
      </c>
      <c r="F14" s="5">
        <v>19900</v>
      </c>
      <c r="G14" s="5"/>
    </row>
    <row r="15" spans="1:10" ht="14.25" customHeight="1" thickBot="1" x14ac:dyDescent="0.35">
      <c r="A15" s="5"/>
      <c r="B15" s="5"/>
      <c r="C15" s="5"/>
      <c r="G15" s="11">
        <f>SUM(F12:F15)</f>
        <v>37400</v>
      </c>
    </row>
    <row r="16" spans="1:10" ht="14.25" customHeight="1" x14ac:dyDescent="0.3">
      <c r="A16" s="5"/>
      <c r="B16" s="5"/>
      <c r="C16" s="5"/>
      <c r="D16" s="6"/>
      <c r="E16" s="6"/>
      <c r="F16" s="6"/>
      <c r="G16" s="6"/>
    </row>
    <row r="17" spans="1:10" ht="14.25" customHeight="1" x14ac:dyDescent="0.3">
      <c r="G17" s="6"/>
    </row>
    <row r="18" spans="1:10" ht="14.25" customHeight="1" thickBot="1" x14ac:dyDescent="0.35">
      <c r="A18" t="s">
        <v>32</v>
      </c>
      <c r="B18" t="s">
        <v>33</v>
      </c>
      <c r="C18" t="s">
        <v>35</v>
      </c>
      <c r="D18" t="s">
        <v>31</v>
      </c>
      <c r="E18">
        <v>5</v>
      </c>
      <c r="F18">
        <v>19900</v>
      </c>
      <c r="I18" t="s">
        <v>25</v>
      </c>
      <c r="J18" t="s">
        <v>72</v>
      </c>
    </row>
    <row r="19" spans="1:10" ht="14.25" customHeight="1" thickBot="1" x14ac:dyDescent="0.35">
      <c r="B19" t="s">
        <v>34</v>
      </c>
      <c r="G19" s="11">
        <f>F18*E18</f>
        <v>99500</v>
      </c>
    </row>
    <row r="20" spans="1:10" ht="14.25" customHeight="1" x14ac:dyDescent="0.3"/>
    <row r="21" spans="1:10" ht="14.25" customHeight="1" x14ac:dyDescent="0.3"/>
    <row r="22" spans="1:10" ht="14.25" customHeight="1" x14ac:dyDescent="0.3">
      <c r="A22" t="s">
        <v>36</v>
      </c>
      <c r="B22" t="s">
        <v>45</v>
      </c>
      <c r="C22" s="7" t="s">
        <v>46</v>
      </c>
      <c r="D22" t="s">
        <v>47</v>
      </c>
      <c r="E22">
        <v>1</v>
      </c>
      <c r="F22">
        <v>25400</v>
      </c>
      <c r="I22" t="s">
        <v>25</v>
      </c>
      <c r="J22" t="s">
        <v>73</v>
      </c>
    </row>
    <row r="23" spans="1:10" ht="14.25" customHeight="1" x14ac:dyDescent="0.3">
      <c r="B23" t="s">
        <v>44</v>
      </c>
      <c r="D23" t="s">
        <v>16</v>
      </c>
      <c r="E23">
        <v>1</v>
      </c>
      <c r="F23">
        <v>10000</v>
      </c>
      <c r="J23" t="s">
        <v>74</v>
      </c>
    </row>
    <row r="24" spans="1:10" ht="14.25" customHeight="1" x14ac:dyDescent="0.3">
      <c r="D24" t="s">
        <v>48</v>
      </c>
      <c r="E24">
        <v>1</v>
      </c>
      <c r="F24">
        <v>10000</v>
      </c>
    </row>
    <row r="25" spans="1:10" ht="14.25" customHeight="1" thickBot="1" x14ac:dyDescent="0.35">
      <c r="D25" t="s">
        <v>30</v>
      </c>
      <c r="E25">
        <v>1</v>
      </c>
      <c r="F25">
        <v>7500</v>
      </c>
    </row>
    <row r="26" spans="1:10" ht="14.25" customHeight="1" thickBot="1" x14ac:dyDescent="0.35">
      <c r="G26" s="11">
        <f>SUM(F22:F25)</f>
        <v>52900</v>
      </c>
    </row>
    <row r="27" spans="1:10" ht="14.25" customHeight="1" x14ac:dyDescent="0.3"/>
    <row r="28" spans="1:10" ht="14.25" customHeight="1" x14ac:dyDescent="0.3"/>
    <row r="29" spans="1:10" ht="14.25" customHeight="1" thickBot="1" x14ac:dyDescent="0.35">
      <c r="A29" t="s">
        <v>37</v>
      </c>
      <c r="B29" t="s">
        <v>38</v>
      </c>
      <c r="C29" t="s">
        <v>40</v>
      </c>
      <c r="D29" t="s">
        <v>41</v>
      </c>
      <c r="E29">
        <v>1</v>
      </c>
      <c r="F29">
        <v>80000</v>
      </c>
      <c r="I29" t="s">
        <v>42</v>
      </c>
      <c r="J29" t="s">
        <v>78</v>
      </c>
    </row>
    <row r="30" spans="1:10" ht="14.25" customHeight="1" thickBot="1" x14ac:dyDescent="0.35">
      <c r="B30" t="s">
        <v>39</v>
      </c>
      <c r="G30" s="11">
        <v>80000</v>
      </c>
    </row>
    <row r="31" spans="1:10" ht="14.25" customHeight="1" x14ac:dyDescent="0.3"/>
    <row r="32" spans="1:10" ht="14.25" customHeight="1" x14ac:dyDescent="0.3"/>
    <row r="33" spans="1:11" ht="14.25" customHeight="1" x14ac:dyDescent="0.3">
      <c r="A33" t="s">
        <v>49</v>
      </c>
      <c r="B33" t="s">
        <v>50</v>
      </c>
      <c r="C33" t="s">
        <v>51</v>
      </c>
      <c r="D33" t="s">
        <v>30</v>
      </c>
      <c r="E33">
        <v>2</v>
      </c>
      <c r="F33">
        <v>7500</v>
      </c>
      <c r="G33">
        <f>E33*F33</f>
        <v>15000</v>
      </c>
      <c r="I33" t="s">
        <v>25</v>
      </c>
      <c r="J33" t="s">
        <v>84</v>
      </c>
      <c r="K33" t="s">
        <v>52</v>
      </c>
    </row>
    <row r="34" spans="1:11" ht="14.25" customHeight="1" thickBot="1" x14ac:dyDescent="0.35">
      <c r="B34" t="s">
        <v>53</v>
      </c>
      <c r="D34" t="s">
        <v>48</v>
      </c>
      <c r="E34">
        <v>1</v>
      </c>
      <c r="F34">
        <v>10000</v>
      </c>
      <c r="G34">
        <f>F34</f>
        <v>10000</v>
      </c>
    </row>
    <row r="35" spans="1:11" ht="14.25" customHeight="1" thickBot="1" x14ac:dyDescent="0.35">
      <c r="B35" t="s">
        <v>79</v>
      </c>
      <c r="G35" s="11">
        <f>SUM(G33:G34)</f>
        <v>25000</v>
      </c>
    </row>
    <row r="36" spans="1:11" ht="14.25" customHeight="1" x14ac:dyDescent="0.3"/>
    <row r="37" spans="1:11" ht="14.25" customHeight="1" x14ac:dyDescent="0.3">
      <c r="A37" t="s">
        <v>54</v>
      </c>
      <c r="B37" t="s">
        <v>58</v>
      </c>
      <c r="C37" t="s">
        <v>55</v>
      </c>
      <c r="D37" t="s">
        <v>16</v>
      </c>
      <c r="E37">
        <v>1</v>
      </c>
      <c r="F37">
        <v>0</v>
      </c>
      <c r="I37" t="s">
        <v>57</v>
      </c>
      <c r="J37" t="s">
        <v>75</v>
      </c>
      <c r="K37" t="s">
        <v>88</v>
      </c>
    </row>
    <row r="38" spans="1:11" ht="14.25" customHeight="1" x14ac:dyDescent="0.3">
      <c r="B38" t="s">
        <v>59</v>
      </c>
      <c r="D38" t="s">
        <v>48</v>
      </c>
      <c r="E38">
        <v>1</v>
      </c>
      <c r="F38">
        <v>0</v>
      </c>
    </row>
    <row r="39" spans="1:11" ht="14.25" customHeight="1" thickBot="1" x14ac:dyDescent="0.35">
      <c r="B39" t="s">
        <v>60</v>
      </c>
      <c r="D39" t="s">
        <v>30</v>
      </c>
      <c r="E39">
        <v>1</v>
      </c>
      <c r="F39">
        <v>0</v>
      </c>
      <c r="K39" t="s">
        <v>56</v>
      </c>
    </row>
    <row r="40" spans="1:11" ht="14.25" customHeight="1" thickBot="1" x14ac:dyDescent="0.35">
      <c r="G40" s="11">
        <v>0</v>
      </c>
    </row>
    <row r="41" spans="1:11" ht="14.25" customHeight="1" x14ac:dyDescent="0.3"/>
    <row r="42" spans="1:11" ht="14.25" customHeight="1" x14ac:dyDescent="0.3"/>
    <row r="43" spans="1:11" ht="14.25" customHeight="1" x14ac:dyDescent="0.3">
      <c r="A43" t="s">
        <v>61</v>
      </c>
      <c r="B43" t="s">
        <v>62</v>
      </c>
      <c r="C43" t="s">
        <v>64</v>
      </c>
      <c r="D43" t="s">
        <v>30</v>
      </c>
      <c r="E43">
        <v>1</v>
      </c>
      <c r="F43">
        <v>7500</v>
      </c>
      <c r="I43" t="s">
        <v>57</v>
      </c>
      <c r="J43" t="s">
        <v>80</v>
      </c>
    </row>
    <row r="44" spans="1:11" ht="14.25" customHeight="1" x14ac:dyDescent="0.3">
      <c r="B44" t="s">
        <v>63</v>
      </c>
      <c r="D44" t="s">
        <v>16</v>
      </c>
      <c r="E44">
        <v>1</v>
      </c>
      <c r="F44">
        <v>10000</v>
      </c>
    </row>
    <row r="45" spans="1:11" ht="14.25" customHeight="1" thickBot="1" x14ac:dyDescent="0.35">
      <c r="D45" t="s">
        <v>48</v>
      </c>
      <c r="E45">
        <v>1</v>
      </c>
      <c r="F45">
        <v>10000</v>
      </c>
    </row>
    <row r="46" spans="1:11" ht="14.25" customHeight="1" thickBot="1" x14ac:dyDescent="0.35">
      <c r="G46" s="11">
        <f>SUM(F43:F45)</f>
        <v>27500</v>
      </c>
    </row>
    <row r="47" spans="1:11" ht="14.25" customHeight="1" x14ac:dyDescent="0.3"/>
    <row r="48" spans="1:11" ht="14.25" customHeight="1" x14ac:dyDescent="0.3">
      <c r="A48" t="s">
        <v>65</v>
      </c>
      <c r="B48" t="s">
        <v>76</v>
      </c>
      <c r="C48" t="s">
        <v>66</v>
      </c>
      <c r="D48" t="s">
        <v>30</v>
      </c>
      <c r="E48">
        <v>1</v>
      </c>
      <c r="F48">
        <v>7500</v>
      </c>
      <c r="G48">
        <f>F48*E48</f>
        <v>7500</v>
      </c>
      <c r="I48" t="s">
        <v>12</v>
      </c>
      <c r="J48" t="s">
        <v>81</v>
      </c>
      <c r="K48" t="s">
        <v>56</v>
      </c>
    </row>
    <row r="49" spans="1:10" ht="14.25" customHeight="1" thickBot="1" x14ac:dyDescent="0.35">
      <c r="B49" t="s">
        <v>77</v>
      </c>
      <c r="D49" t="s">
        <v>48</v>
      </c>
      <c r="E49">
        <v>1</v>
      </c>
      <c r="F49">
        <v>10000</v>
      </c>
      <c r="G49">
        <v>10000</v>
      </c>
    </row>
    <row r="50" spans="1:10" ht="14.25" customHeight="1" thickBot="1" x14ac:dyDescent="0.35">
      <c r="G50" s="11">
        <f>SUM(G48:G49)</f>
        <v>17500</v>
      </c>
    </row>
    <row r="51" spans="1:10" ht="14.25" customHeight="1" thickBot="1" x14ac:dyDescent="0.35"/>
    <row r="52" spans="1:10" ht="14.25" customHeight="1" thickBot="1" x14ac:dyDescent="0.35">
      <c r="A52" t="s">
        <v>67</v>
      </c>
      <c r="B52" t="s">
        <v>69</v>
      </c>
      <c r="C52" t="s">
        <v>68</v>
      </c>
      <c r="D52" t="s">
        <v>70</v>
      </c>
      <c r="E52">
        <v>1</v>
      </c>
      <c r="F52">
        <v>25400</v>
      </c>
      <c r="G52" s="11">
        <v>25400</v>
      </c>
      <c r="I52" t="s">
        <v>71</v>
      </c>
      <c r="J52" t="s">
        <v>82</v>
      </c>
    </row>
    <row r="53" spans="1:10" ht="14.25" customHeight="1" thickBot="1" x14ac:dyDescent="0.35"/>
    <row r="54" spans="1:10" ht="14.25" customHeight="1" thickBot="1" x14ac:dyDescent="0.35">
      <c r="A54" t="s">
        <v>85</v>
      </c>
      <c r="B54" t="s">
        <v>86</v>
      </c>
      <c r="C54" t="s">
        <v>87</v>
      </c>
      <c r="D54" t="s">
        <v>31</v>
      </c>
      <c r="E54">
        <v>18</v>
      </c>
      <c r="F54">
        <v>19900</v>
      </c>
      <c r="G54" s="11">
        <f>F54*E54</f>
        <v>358200</v>
      </c>
      <c r="I54" t="s">
        <v>57</v>
      </c>
    </row>
    <row r="55" spans="1:10" ht="14.25" customHeight="1" x14ac:dyDescent="0.3"/>
    <row r="56" spans="1:10" ht="14.25" customHeight="1" x14ac:dyDescent="0.3"/>
    <row r="57" spans="1:10" ht="14.25" customHeight="1" x14ac:dyDescent="0.3">
      <c r="D57" s="12" t="s">
        <v>9</v>
      </c>
      <c r="E57" s="13"/>
      <c r="F57" s="13"/>
      <c r="G57" s="13"/>
    </row>
    <row r="58" spans="1:10" ht="14.25" customHeight="1" x14ac:dyDescent="0.3">
      <c r="D58" s="14" t="s">
        <v>10</v>
      </c>
      <c r="E58" s="13"/>
      <c r="F58" s="13"/>
      <c r="G58" s="13"/>
    </row>
    <row r="59" spans="1:10" ht="14.25" customHeight="1" x14ac:dyDescent="0.3"/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7:G57"/>
    <mergeCell ref="D58:G58"/>
  </mergeCells>
  <pageMargins left="0.70866141732283472" right="0.70866141732283472" top="1.3130314960629921" bottom="0.74803149606299213" header="0" footer="0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2025-10-01T19:29:41Z</cp:lastPrinted>
  <dcterms:created xsi:type="dcterms:W3CDTF">2025-09-06T15:36:57Z</dcterms:created>
  <dcterms:modified xsi:type="dcterms:W3CDTF">2025-10-02T12:18:21Z</dcterms:modified>
</cp:coreProperties>
</file>
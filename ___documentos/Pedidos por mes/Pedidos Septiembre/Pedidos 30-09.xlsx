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90" documentId="13_ncr:1_{F82DCB79-DB1B-452A-8F66-96CA00924D64}" xr6:coauthVersionLast="47" xr6:coauthVersionMax="47" xr10:uidLastSave="{6BC977E1-7F5E-47E4-B310-70689CBC72F6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L5" i="1" l="1"/>
  <c r="G39" i="1"/>
  <c r="G36" i="1"/>
  <c r="G25" i="1"/>
  <c r="G19" i="1"/>
  <c r="G13" i="1"/>
  <c r="G4" i="1"/>
  <c r="G5" i="1"/>
  <c r="G3" i="1"/>
  <c r="G7" i="1" l="1"/>
</calcChain>
</file>

<file path=xl/sharedStrings.xml><?xml version="1.0" encoding="utf-8"?>
<sst xmlns="http://schemas.openxmlformats.org/spreadsheetml/2006/main" count="69" uniqueCount="56">
  <si>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</si>
  <si>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</si>
  <si>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</si>
  <si>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</si>
  <si>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</si>
  <si>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</si>
  <si>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</si>
  <si>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</si>
  <si>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</si>
  <si>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</si>
  <si>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</si>
  <si>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</si>
  <si>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federico errazuriz</t>
  </si>
  <si>
    <t>promo fideos</t>
  </si>
  <si>
    <t>promo arroz</t>
  </si>
  <si>
    <t>promo atun</t>
  </si>
  <si>
    <t>promo salmon</t>
  </si>
  <si>
    <t>minimarket chavelita</t>
  </si>
  <si>
    <t>Puerto Varas</t>
  </si>
  <si>
    <t>efectivo</t>
  </si>
  <si>
    <t>Viviana Caceres</t>
  </si>
  <si>
    <t>Isla Calmache 1010</t>
  </si>
  <si>
    <t>caja mensual</t>
  </si>
  <si>
    <t>caja niños</t>
  </si>
  <si>
    <t>PAGADO</t>
  </si>
  <si>
    <t xml:space="preserve">Nombre: Diego Vargas </t>
  </si>
  <si>
    <t>Dirección: optimismo 19</t>
  </si>
  <si>
    <t xml:space="preserve">Comuna: Puerto Montt </t>
  </si>
  <si>
    <t>Horario recepcion: 18 pm</t>
  </si>
  <si>
    <t xml:space="preserve">Método de pago: transferencia </t>
  </si>
  <si>
    <t>Detalle de su pedido: promo atún, fideos y arroz</t>
  </si>
  <si>
    <t>Diego Vargas</t>
  </si>
  <si>
    <t>optimismo 19</t>
  </si>
  <si>
    <t>9 4480 2290</t>
  </si>
  <si>
    <t>transferencia</t>
  </si>
  <si>
    <t>franchesca</t>
  </si>
  <si>
    <t xml:space="preserve">Piriquina #5 </t>
  </si>
  <si>
    <t>9 5659 0103</t>
  </si>
  <si>
    <t>debito</t>
  </si>
  <si>
    <t>Gerardo gonzalez</t>
  </si>
  <si>
    <t>1973 Gamboa</t>
  </si>
  <si>
    <t>caja semanal</t>
  </si>
  <si>
    <t>Sanhueza</t>
  </si>
  <si>
    <t>Seminario 208</t>
  </si>
  <si>
    <t>caja bolsillo feliz</t>
  </si>
  <si>
    <t>Solange</t>
  </si>
  <si>
    <t>bolsillo feliz</t>
  </si>
  <si>
    <t>ecoglita #5705, Melihuen</t>
  </si>
  <si>
    <t>antes de las 1900</t>
  </si>
  <si>
    <t>altos alerce calle puerto Aysén 1017</t>
  </si>
  <si>
    <t xml:space="preserve">Cristian </t>
  </si>
  <si>
    <t>ALERCE</t>
  </si>
  <si>
    <t>9 9631 9568</t>
  </si>
  <si>
    <t>7pm</t>
  </si>
  <si>
    <t>9 2617 2432</t>
  </si>
  <si>
    <t>FACTURITA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</si>
</sst>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5" xfId="0" applyFont="1" applyBorder="1"/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983184485" TargetMode="External"/><Relationship Id="rId2" Type="http://schemas.openxmlformats.org/officeDocument/2006/relationships/hyperlink" Target="tel:+56%20982581770" TargetMode="External"/><Relationship Id="rId1" Type="http://schemas.openxmlformats.org/officeDocument/2006/relationships/hyperlink" Target="tel:+56%2099030657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000"/>
  <sheetViews>
    <sheetView tabSelected="1" zoomScale="91" workbookViewId="0">
      <selection activeCell="G7" sqref="G7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2" ht="14.25" customHeight="1" x14ac:dyDescent="0.3"/>
    <row r="2" spans="1:12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2" ht="14.25" customHeight="1" x14ac:dyDescent="0.3">
      <c r="A3" s="8" t="s">
        <v>12</v>
      </c>
      <c r="B3" s="8" t="s">
        <v>17</v>
      </c>
      <c r="C3" s="5">
        <v>973338023</v>
      </c>
      <c r="D3" s="5" t="s">
        <v>13</v>
      </c>
      <c r="E3" s="5">
        <v>1</v>
      </c>
      <c r="F3" s="5">
        <v>7500</v>
      </c>
      <c r="G3" s="5">
        <f>F3*E3</f>
        <v>7500</v>
      </c>
      <c r="H3" s="12" t="s">
        <v>55</v>
      </c>
    </row>
    <row r="4" spans="1:12" ht="14.25" customHeight="1" x14ac:dyDescent="0.3">
      <c r="A4" s="5"/>
      <c r="B4" s="5" t="s">
        <v>18</v>
      </c>
      <c r="C4" s="5"/>
      <c r="D4" s="5" t="s">
        <v>14</v>
      </c>
      <c r="E4" s="5">
        <v>1</v>
      </c>
      <c r="F4" s="5">
        <v>10000</v>
      </c>
      <c r="G4" s="5">
        <f t="shared" ref="G4:G5" si="0">F4*E4</f>
        <v>10000</v>
      </c>
    </row>
    <row r="5" spans="1:12" ht="14.25" customHeight="1" x14ac:dyDescent="0.3">
      <c r="A5" s="5"/>
      <c r="B5" s="5"/>
      <c r="C5" s="5"/>
      <c r="D5" s="5" t="s">
        <v>15</v>
      </c>
      <c r="E5" s="5">
        <v>1</v>
      </c>
      <c r="F5" s="5">
        <v>10000</v>
      </c>
      <c r="G5" s="5">
        <f t="shared" si="0"/>
        <v>10000</v>
      </c>
      <c r="L5">
        <f>SUM(G7,G13,G19,G25,G29,G36,G39,G43,)</f>
        <v>367500</v>
      </c>
    </row>
    <row r="6" spans="1:12" ht="14.25" customHeight="1" thickBot="1" x14ac:dyDescent="0.35">
      <c r="A6" s="5"/>
      <c r="B6" s="5"/>
      <c r="C6" s="5"/>
      <c r="D6" s="5" t="s">
        <v>16</v>
      </c>
      <c r="E6" s="5">
        <v>1</v>
      </c>
      <c r="F6" s="5">
        <v>24000</v>
      </c>
      <c r="G6">
        <v>24000</v>
      </c>
    </row>
    <row r="7" spans="1:12" ht="14.25" customHeight="1" thickBot="1" x14ac:dyDescent="0.35">
      <c r="A7" s="5"/>
      <c r="B7" s="5"/>
      <c r="C7" s="5"/>
      <c r="D7" s="5"/>
      <c r="E7" s="5"/>
      <c r="F7" s="5"/>
      <c r="G7" s="7">
        <f>SUM(G3:G6)</f>
        <v>51500</v>
      </c>
    </row>
    <row r="8" spans="1:12" ht="14.25" customHeight="1" x14ac:dyDescent="0.3">
      <c r="A8" s="5"/>
      <c r="B8" s="5"/>
      <c r="C8" s="5"/>
      <c r="D8" s="5"/>
      <c r="E8" s="5"/>
      <c r="F8" s="5"/>
      <c r="G8" s="5"/>
    </row>
    <row r="9" spans="1:12" ht="14.25" customHeight="1" x14ac:dyDescent="0.3">
      <c r="A9" s="5"/>
      <c r="B9" s="5"/>
      <c r="C9" s="5"/>
      <c r="D9" s="5"/>
      <c r="E9" s="5"/>
      <c r="F9" s="5"/>
      <c r="G9" s="5"/>
    </row>
    <row r="10" spans="1:12" ht="14.25" customHeight="1" x14ac:dyDescent="0.3"/>
    <row r="11" spans="1:12" ht="14.25" customHeight="1" x14ac:dyDescent="0.3">
      <c r="A11" t="s">
        <v>20</v>
      </c>
      <c r="B11" s="9" t="s">
        <v>21</v>
      </c>
      <c r="C11" s="10">
        <v>90306579</v>
      </c>
      <c r="D11" s="11" t="s">
        <v>22</v>
      </c>
      <c r="E11">
        <v>1</v>
      </c>
      <c r="F11">
        <v>81200</v>
      </c>
      <c r="I11" s="11" t="s">
        <v>24</v>
      </c>
    </row>
    <row r="12" spans="1:12" ht="14.25" customHeight="1" x14ac:dyDescent="0.3">
      <c r="C12" s="6"/>
      <c r="D12" s="11" t="s">
        <v>23</v>
      </c>
      <c r="E12">
        <v>1</v>
      </c>
      <c r="F12">
        <v>33900</v>
      </c>
    </row>
    <row r="13" spans="1:12" ht="14.25" customHeight="1" x14ac:dyDescent="0.3">
      <c r="G13">
        <f>SUM(F11:F12)</f>
        <v>115100</v>
      </c>
    </row>
    <row r="14" spans="1:12" ht="14.25" customHeight="1" x14ac:dyDescent="0.3"/>
    <row r="15" spans="1:12" ht="14.25" customHeight="1" x14ac:dyDescent="0.3"/>
    <row r="16" spans="1:12" ht="14.25" customHeight="1" x14ac:dyDescent="0.3">
      <c r="A16" s="11" t="s">
        <v>31</v>
      </c>
      <c r="B16" t="s">
        <v>32</v>
      </c>
      <c r="C16" t="s">
        <v>33</v>
      </c>
      <c r="D16" s="11" t="s">
        <v>15</v>
      </c>
      <c r="E16">
        <v>1</v>
      </c>
      <c r="F16">
        <v>10000</v>
      </c>
      <c r="I16" s="11" t="s">
        <v>34</v>
      </c>
    </row>
    <row r="17" spans="1:11" ht="14.25" customHeight="1" x14ac:dyDescent="0.3">
      <c r="D17" s="11" t="s">
        <v>13</v>
      </c>
      <c r="E17">
        <v>1</v>
      </c>
      <c r="F17">
        <v>7500</v>
      </c>
    </row>
    <row r="18" spans="1:11" ht="14.25" customHeight="1" x14ac:dyDescent="0.3">
      <c r="D18" s="11" t="s">
        <v>14</v>
      </c>
      <c r="E18">
        <v>1</v>
      </c>
      <c r="F18">
        <v>10000</v>
      </c>
    </row>
    <row r="19" spans="1:11" ht="14.25" customHeight="1" x14ac:dyDescent="0.3">
      <c r="G19">
        <f>SUM(F16:F18)</f>
        <v>27500</v>
      </c>
    </row>
    <row r="20" spans="1:11" ht="14.25" customHeight="1" x14ac:dyDescent="0.3"/>
    <row r="21" spans="1:11" ht="14.25" customHeight="1" x14ac:dyDescent="0.3">
      <c r="K21" t="s">
        <v>25</v>
      </c>
    </row>
    <row r="22" spans="1:11" ht="14.25" customHeight="1" x14ac:dyDescent="0.3">
      <c r="A22" t="s">
        <v>35</v>
      </c>
      <c r="B22" t="s">
        <v>36</v>
      </c>
      <c r="C22" t="s">
        <v>37</v>
      </c>
      <c r="D22" t="s">
        <v>15</v>
      </c>
      <c r="E22">
        <v>1</v>
      </c>
      <c r="F22">
        <v>10000</v>
      </c>
      <c r="I22" t="s">
        <v>38</v>
      </c>
      <c r="J22">
        <v>1430</v>
      </c>
      <c r="K22" t="s">
        <v>26</v>
      </c>
    </row>
    <row r="23" spans="1:11" ht="14.25" customHeight="1" x14ac:dyDescent="0.3">
      <c r="D23" t="s">
        <v>13</v>
      </c>
      <c r="E23">
        <v>1</v>
      </c>
      <c r="F23">
        <v>7500</v>
      </c>
      <c r="K23" t="s">
        <v>27</v>
      </c>
    </row>
    <row r="24" spans="1:11" ht="14.25" customHeight="1" x14ac:dyDescent="0.3">
      <c r="D24" t="s">
        <v>14</v>
      </c>
      <c r="E24">
        <v>1</v>
      </c>
      <c r="F24">
        <v>10000</v>
      </c>
      <c r="K24" t="s">
        <v>28</v>
      </c>
    </row>
    <row r="25" spans="1:11" ht="14.25" customHeight="1" x14ac:dyDescent="0.3">
      <c r="G25">
        <f>SUM(F22:F24)</f>
        <v>27500</v>
      </c>
      <c r="K25" t="s">
        <v>29</v>
      </c>
    </row>
    <row r="26" spans="1:11" ht="14.25" customHeight="1" x14ac:dyDescent="0.3">
      <c r="K26" t="s">
        <v>30</v>
      </c>
    </row>
    <row r="27" spans="1:11" ht="14.25" customHeight="1" x14ac:dyDescent="0.3"/>
    <row r="28" spans="1:11" ht="14.25" customHeight="1" x14ac:dyDescent="0.3">
      <c r="A28" t="s">
        <v>39</v>
      </c>
      <c r="B28" s="9" t="s">
        <v>40</v>
      </c>
      <c r="C28" s="10">
        <v>982581770</v>
      </c>
      <c r="D28" s="12" t="s">
        <v>41</v>
      </c>
      <c r="E28">
        <v>1</v>
      </c>
      <c r="F28">
        <v>25400</v>
      </c>
      <c r="I28" s="12" t="s">
        <v>24</v>
      </c>
    </row>
    <row r="29" spans="1:11" ht="14.25" customHeight="1" x14ac:dyDescent="0.3">
      <c r="G29">
        <v>25400</v>
      </c>
    </row>
    <row r="30" spans="1:11" ht="14.25" customHeight="1" x14ac:dyDescent="0.3"/>
    <row r="31" spans="1:11" ht="14.25" customHeight="1" x14ac:dyDescent="0.3"/>
    <row r="32" spans="1:11" ht="14.25" customHeight="1" x14ac:dyDescent="0.3">
      <c r="A32" s="12" t="s">
        <v>42</v>
      </c>
      <c r="B32" s="12" t="s">
        <v>43</v>
      </c>
      <c r="C32" s="10">
        <v>983184485</v>
      </c>
      <c r="D32" s="12" t="s">
        <v>44</v>
      </c>
      <c r="E32">
        <v>1</v>
      </c>
      <c r="F32">
        <v>31500</v>
      </c>
      <c r="I32" s="12" t="s">
        <v>24</v>
      </c>
    </row>
    <row r="33" spans="1:10" ht="14.25" customHeight="1" x14ac:dyDescent="0.3">
      <c r="D33" s="12" t="s">
        <v>13</v>
      </c>
      <c r="E33">
        <v>1</v>
      </c>
      <c r="F33">
        <v>7500</v>
      </c>
    </row>
    <row r="34" spans="1:10" ht="14.25" customHeight="1" x14ac:dyDescent="0.3">
      <c r="D34" s="12" t="s">
        <v>15</v>
      </c>
      <c r="E34">
        <v>1</v>
      </c>
      <c r="F34">
        <v>10000</v>
      </c>
    </row>
    <row r="35" spans="1:10" ht="14.25" customHeight="1" x14ac:dyDescent="0.3">
      <c r="D35" s="12" t="s">
        <v>14</v>
      </c>
      <c r="E35">
        <v>1</v>
      </c>
      <c r="F35">
        <v>10000</v>
      </c>
    </row>
    <row r="36" spans="1:10" ht="14.25" customHeight="1" x14ac:dyDescent="0.3">
      <c r="G36">
        <f>SUM(F32:F35)</f>
        <v>59000</v>
      </c>
    </row>
    <row r="37" spans="1:10" ht="14.25" customHeight="1" x14ac:dyDescent="0.3"/>
    <row r="38" spans="1:10" ht="14.25" customHeight="1" x14ac:dyDescent="0.3">
      <c r="A38" s="12" t="s">
        <v>45</v>
      </c>
      <c r="B38" t="s">
        <v>47</v>
      </c>
      <c r="C38" t="s">
        <v>54</v>
      </c>
      <c r="D38" s="12" t="s">
        <v>46</v>
      </c>
      <c r="E38">
        <v>1</v>
      </c>
      <c r="F38">
        <v>31500</v>
      </c>
      <c r="I38" s="12" t="s">
        <v>38</v>
      </c>
      <c r="J38" s="12" t="s">
        <v>48</v>
      </c>
    </row>
    <row r="39" spans="1:10" ht="14.25" customHeight="1" x14ac:dyDescent="0.3">
      <c r="G39">
        <f>F38</f>
        <v>31500</v>
      </c>
    </row>
    <row r="40" spans="1:10" ht="14.25" customHeight="1" x14ac:dyDescent="0.3"/>
    <row r="41" spans="1:10" ht="14.25" customHeight="1" x14ac:dyDescent="0.3"/>
    <row r="42" spans="1:10" ht="14.25" customHeight="1" x14ac:dyDescent="0.3">
      <c r="A42" s="12" t="s">
        <v>50</v>
      </c>
      <c r="B42" t="s">
        <v>49</v>
      </c>
      <c r="C42" t="s">
        <v>52</v>
      </c>
      <c r="D42" s="12" t="s">
        <v>13</v>
      </c>
      <c r="E42">
        <v>4</v>
      </c>
      <c r="F42">
        <v>30000</v>
      </c>
      <c r="I42" s="12" t="s">
        <v>19</v>
      </c>
      <c r="J42" s="12" t="s">
        <v>53</v>
      </c>
    </row>
    <row r="43" spans="1:10" ht="14.25" customHeight="1" x14ac:dyDescent="0.3">
      <c r="B43" s="12" t="s">
        <v>51</v>
      </c>
      <c r="G43">
        <v>30000</v>
      </c>
    </row>
    <row r="44" spans="1:10" ht="14.25" customHeight="1" x14ac:dyDescent="0.3"/>
    <row r="45" spans="1:10" ht="14.25" customHeight="1" x14ac:dyDescent="0.3"/>
    <row r="46" spans="1:10" ht="14.25" customHeight="1" x14ac:dyDescent="0.3"/>
    <row r="47" spans="1:10" ht="14.25" customHeight="1" x14ac:dyDescent="0.3"/>
    <row r="48" spans="1:10" ht="14.25" customHeight="1" x14ac:dyDescent="0.3">
      <c r="D48" s="13" t="s">
        <v>9</v>
      </c>
      <c r="E48" s="14"/>
      <c r="F48" s="14"/>
      <c r="G48" s="14"/>
    </row>
    <row r="49" spans="4:7" ht="14.25" customHeight="1" x14ac:dyDescent="0.3">
      <c r="D49" s="15" t="s">
        <v>10</v>
      </c>
      <c r="E49" s="14"/>
      <c r="F49" s="14"/>
      <c r="G49" s="14"/>
    </row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48:G48"/>
    <mergeCell ref="D49:G49"/>
  </mergeCells>
  <hyperlinks>
    <hyperlink ref="C11" r:id="rId1" display="tel:+56 990306579" xr:uid="{0C784A1C-9674-4FCF-872B-B3D50BEC455E}"/>
    <hyperlink ref="C28" r:id="rId2" display="tel:+56 982581770" xr:uid="{328AA7F0-72AF-4E0F-ACD3-2E4C81F01709}"/>
    <hyperlink ref="C32" r:id="rId3" display="tel:983184485" xr:uid="{F276CCD5-B0A9-4066-8649-BB9DEAAED7AD}"/>
  </hyperlinks>
  <pageMargins left="0.70866141732283472" right="0.70866141732283472" top="0.74803149606299213" bottom="0.74803149606299213" header="0" footer="0"/>
  <pageSetup scale="75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2025-09-30T18:36:04Z</cp:lastPrinted>
  <dcterms:created xsi:type="dcterms:W3CDTF">2025-09-06T15:36:57Z</dcterms:created>
  <dcterms:modified xsi:type="dcterms:W3CDTF">2025-10-01T15:43:09Z</dcterms:modified>
</cp:coreProperties>
</file>
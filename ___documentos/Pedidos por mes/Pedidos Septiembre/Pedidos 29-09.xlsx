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89" documentId="14_{3A685B0B-BBA8-45D8-9F23-08A710030407}" xr6:coauthVersionLast="47" xr6:coauthVersionMax="47" xr10:uidLastSave="{C2D887D8-68E4-4D65-A5B7-B8E041718B94}"/>
  <bookViews>
    <workbookView xWindow="-23325" yWindow="1740" windowWidth="17280" windowHeight="10500" xr2:uid="{00000000-000D-0000-FFFF-FFFF00000000}"/>
  </bookViews>
  <sheets>
    <sheet name="Hoja1" sheetId="1" r:id="rId1"/>
  </sheets>
  <definedNames>
    <definedName name="_xlnm.Print_Area" localSheetId="0">Hoja1!$A$1:$G$60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39" i="1" l="1"/>
  <c r="G32" i="1"/>
  <c r="G31" i="1"/>
  <c r="G30" i="1"/>
  <c r="G27" i="1"/>
  <c r="G19" i="1"/>
  <c r="G20" i="1"/>
  <c r="G21" i="1" s="1"/>
  <c r="G18" i="1"/>
  <c r="G15" i="1"/>
  <c r="G8" i="1"/>
  <c r="G4" i="1"/>
  <c r="G5" i="1"/>
  <c r="G3" i="1"/>
</calcChain>
</file>

<file path=xl/sharedStrings.xml><?xml version="1.0" encoding="utf-8"?>
<sst xmlns="http://schemas.openxmlformats.org/spreadsheetml/2006/main" count="76" uniqueCount="66">
  <si>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</si>
  <si>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</si>
  <si>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</si>
  <si>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</si>
  <si>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</si>
  <si>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</si>
  <si>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</si>
  <si>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</si>
  <si>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EDT</t>
  </si>
  <si>
    <t>_______________________________________________________</t>
  </si>
  <si>
    <t>Firma</t>
  </si>
  <si>
    <t>M. Pago</t>
  </si>
  <si>
    <t>promo aceite</t>
  </si>
  <si>
    <t>transferencia</t>
  </si>
  <si>
    <t>hasta las 6pm</t>
  </si>
  <si>
    <t xml:space="preserve">Nombre: Melanyi Tiburcio </t>
  </si>
  <si>
    <t>Dirección: SAN Ignacio 1145</t>
  </si>
  <si>
    <t>Comuna: Puerto Varas</t>
  </si>
  <si>
    <t>Horario recepcion: ojalá antes de las 10:00</t>
  </si>
  <si>
    <t xml:space="preserve">Método de pago: Débito o Transferencia </t>
  </si>
  <si>
    <t>Detalle de su pedido:</t>
  </si>
  <si>
    <t>Melanyi Tiburcio</t>
  </si>
  <si>
    <t xml:space="preserve"> SAN Ignacio 1145</t>
  </si>
  <si>
    <t>Puero varas</t>
  </si>
  <si>
    <t>9 6324 3102</t>
  </si>
  <si>
    <t>promo poroto</t>
  </si>
  <si>
    <t>promo fideo</t>
  </si>
  <si>
    <t>promo jurel</t>
  </si>
  <si>
    <t>promo arroz</t>
  </si>
  <si>
    <t>Nelson salazar</t>
  </si>
  <si>
    <t>Pasaje nuevo puerto Zenteno 1120</t>
  </si>
  <si>
    <t>efectivo o tarjeta</t>
  </si>
  <si>
    <t>dps 7 pm</t>
  </si>
  <si>
    <t>9 8358 4408</t>
  </si>
  <si>
    <t>promo fideos</t>
  </si>
  <si>
    <t>promo mariscos</t>
  </si>
  <si>
    <t>Alexis Alvarez</t>
  </si>
  <si>
    <t>Los Angeles 518</t>
  </si>
  <si>
    <t>los angeles 520</t>
  </si>
  <si>
    <t>9 3054 9979</t>
  </si>
  <si>
    <t>promo jibia</t>
  </si>
  <si>
    <t>promo salmon</t>
  </si>
  <si>
    <t>MEDIA PROMO MARISCOS</t>
  </si>
  <si>
    <t>efectivo</t>
  </si>
  <si>
    <t>entre 1730 y 1830</t>
  </si>
  <si>
    <t>Mabel</t>
  </si>
  <si>
    <t>promo atun</t>
  </si>
  <si>
    <t>promo verduras</t>
  </si>
  <si>
    <t>Puerto Aguirre 1403</t>
  </si>
  <si>
    <t>9 9010 1903</t>
  </si>
  <si>
    <t>efectivo o transferencia</t>
  </si>
  <si>
    <t>todo el dia</t>
  </si>
  <si>
    <t>Jaime</t>
  </si>
  <si>
    <t>minimarket las canchas</t>
  </si>
  <si>
    <t>al frente</t>
  </si>
  <si>
    <t>9 4245 3065</t>
  </si>
  <si>
    <t>Cambiazo poroto x lenteja</t>
  </si>
  <si>
    <t>Isaias  oyarzo</t>
  </si>
  <si>
    <t>lagunitas kilometro 3.5 pasaje 1</t>
  </si>
  <si>
    <t>parcela 1</t>
  </si>
  <si>
    <t>9 5808 3402</t>
  </si>
  <si>
    <t>NOHAY</t>
  </si>
  <si>
    <t>debito o transferencia</t>
  </si>
  <si>
    <t>mix</t>
  </si>
  <si>
    <t>4pm</t>
  </si>
  <si>
    <t>FALTÓ 1 JIBIA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</si>
</sst>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7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9"/>
      <color theme="1"/>
      <name val="Aptos Narrow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41" fontId="0" fillId="0" borderId="0" xfId="1" applyFont="1"/>
    <xf numFmtId="41" fontId="1" fillId="0" borderId="2" xfId="1" applyFont="1" applyBorder="1" applyAlignment="1">
      <alignment horizontal="left"/>
    </xf>
    <xf numFmtId="41" fontId="2" fillId="0" borderId="0" xfId="1" applyFont="1"/>
    <xf numFmtId="41" fontId="3" fillId="0" borderId="0" xfId="1" applyFont="1"/>
    <xf numFmtId="41" fontId="1" fillId="0" borderId="3" xfId="1" applyFont="1" applyBorder="1" applyAlignment="1">
      <alignment horizontal="left"/>
    </xf>
    <xf numFmtId="41" fontId="2" fillId="0" borderId="5" xfId="1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zoomScale="68" workbookViewId="0">
      <selection activeCell="J39" sqref="J39"/>
    </sheetView>
  </sheetViews>
  <sheetFormatPr baseColWidth="10" defaultColWidth="12.6640625" defaultRowHeight="15" customHeight="1" x14ac:dyDescent="0.3"/>
  <cols>
    <col min="1" max="1" width="16.88671875" customWidth="1"/>
    <col min="2" max="2" width="32.44140625" customWidth="1"/>
    <col min="3" max="3" width="14.44140625" customWidth="1"/>
    <col min="4" max="4" width="16" customWidth="1"/>
    <col min="5" max="5" width="13.77734375" customWidth="1"/>
    <col min="6" max="6" width="14.21875" style="8" customWidth="1"/>
    <col min="7" max="7" width="11.44140625" style="8" customWidth="1"/>
    <col min="8" max="8" width="10.6640625" customWidth="1"/>
    <col min="9" max="9" width="14.6640625" customWidth="1"/>
    <col min="10" max="26" width="10.6640625" customWidth="1"/>
  </cols>
  <sheetData>
    <row r="1" spans="1:12" ht="14.25" customHeight="1" x14ac:dyDescent="0.3"/>
    <row r="2" spans="1:12" ht="14.25" customHeight="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9" t="s">
        <v>5</v>
      </c>
      <c r="G2" s="12" t="s">
        <v>6</v>
      </c>
      <c r="H2" s="1" t="s">
        <v>7</v>
      </c>
      <c r="I2" s="2" t="s">
        <v>11</v>
      </c>
      <c r="J2" s="3" t="s">
        <v>8</v>
      </c>
    </row>
    <row r="3" spans="1:12" ht="14.25" customHeight="1" x14ac:dyDescent="0.3">
      <c r="A3" s="7" t="s">
        <v>21</v>
      </c>
      <c r="B3" s="7" t="s">
        <v>22</v>
      </c>
      <c r="C3" s="4" t="s">
        <v>24</v>
      </c>
      <c r="D3" s="4" t="s">
        <v>25</v>
      </c>
      <c r="E3" s="4">
        <v>1</v>
      </c>
      <c r="F3" s="10">
        <v>25000</v>
      </c>
      <c r="G3" s="10">
        <f>F3*E3</f>
        <v>25000</v>
      </c>
      <c r="I3" t="s">
        <v>13</v>
      </c>
      <c r="J3" t="s">
        <v>14</v>
      </c>
      <c r="L3" t="s">
        <v>56</v>
      </c>
    </row>
    <row r="4" spans="1:12" ht="14.25" customHeight="1" x14ac:dyDescent="0.3">
      <c r="A4" s="4"/>
      <c r="B4" s="4" t="s">
        <v>23</v>
      </c>
      <c r="C4" s="4"/>
      <c r="D4" s="4" t="s">
        <v>26</v>
      </c>
      <c r="E4" s="4">
        <v>1</v>
      </c>
      <c r="F4" s="10">
        <v>7500</v>
      </c>
      <c r="G4" s="10">
        <f t="shared" ref="G4:G5" si="0">F4*E4</f>
        <v>7500</v>
      </c>
    </row>
    <row r="5" spans="1:12" ht="14.25" customHeight="1" x14ac:dyDescent="0.3">
      <c r="A5" s="4"/>
      <c r="B5" s="4"/>
      <c r="C5" s="4"/>
      <c r="D5" s="4" t="s">
        <v>27</v>
      </c>
      <c r="E5" s="4">
        <v>1</v>
      </c>
      <c r="F5" s="10">
        <v>16000</v>
      </c>
      <c r="G5" s="10">
        <f t="shared" si="0"/>
        <v>16000</v>
      </c>
      <c r="L5" t="s">
        <v>15</v>
      </c>
    </row>
    <row r="6" spans="1:12" ht="14.25" customHeight="1" x14ac:dyDescent="0.3">
      <c r="A6" s="4"/>
      <c r="B6" s="4"/>
      <c r="C6" s="4"/>
      <c r="D6" s="4" t="s">
        <v>28</v>
      </c>
      <c r="E6" s="4">
        <v>1</v>
      </c>
      <c r="F6" s="10">
        <v>10000</v>
      </c>
      <c r="G6" s="8">
        <v>10000</v>
      </c>
      <c r="L6" t="s">
        <v>16</v>
      </c>
    </row>
    <row r="7" spans="1:12" ht="14.25" customHeight="1" thickBot="1" x14ac:dyDescent="0.35">
      <c r="A7" s="4"/>
      <c r="B7" s="4"/>
      <c r="C7" s="4"/>
      <c r="D7" s="4" t="s">
        <v>12</v>
      </c>
      <c r="E7" s="4">
        <v>1</v>
      </c>
      <c r="F7" s="10">
        <v>19900</v>
      </c>
      <c r="G7" s="8">
        <v>19900</v>
      </c>
      <c r="L7" t="s">
        <v>17</v>
      </c>
    </row>
    <row r="8" spans="1:12" ht="14.25" customHeight="1" thickBot="1" x14ac:dyDescent="0.35">
      <c r="A8" s="4"/>
      <c r="B8" s="4"/>
      <c r="C8" s="4"/>
      <c r="D8" s="4"/>
      <c r="E8" s="4"/>
      <c r="F8" s="10"/>
      <c r="G8" s="13">
        <f>SUM(G3:G7)</f>
        <v>78400</v>
      </c>
      <c r="L8" t="s">
        <v>18</v>
      </c>
    </row>
    <row r="9" spans="1:12" ht="14.25" customHeight="1" x14ac:dyDescent="0.3">
      <c r="A9" s="4"/>
      <c r="B9" s="4"/>
      <c r="C9" s="4"/>
      <c r="D9" s="4"/>
      <c r="E9" s="4"/>
      <c r="F9" s="10"/>
      <c r="G9" s="10"/>
      <c r="L9" t="s">
        <v>19</v>
      </c>
    </row>
    <row r="10" spans="1:12" ht="14.25" customHeight="1" x14ac:dyDescent="0.3">
      <c r="A10" s="4"/>
      <c r="B10" s="4"/>
      <c r="C10" s="4"/>
      <c r="D10" s="4"/>
      <c r="E10" s="4"/>
      <c r="F10" s="10"/>
      <c r="G10" s="10"/>
      <c r="L10" t="s">
        <v>20</v>
      </c>
    </row>
    <row r="11" spans="1:12" ht="14.25" customHeight="1" x14ac:dyDescent="0.3">
      <c r="A11" s="4" t="s">
        <v>29</v>
      </c>
      <c r="B11" s="4" t="s">
        <v>30</v>
      </c>
      <c r="C11" s="4" t="s">
        <v>33</v>
      </c>
      <c r="D11" s="4" t="s">
        <v>34</v>
      </c>
      <c r="E11" s="4">
        <v>1</v>
      </c>
      <c r="F11" s="10">
        <v>7500</v>
      </c>
      <c r="G11" s="10"/>
      <c r="I11" t="s">
        <v>31</v>
      </c>
      <c r="J11" t="s">
        <v>32</v>
      </c>
    </row>
    <row r="12" spans="1:12" ht="14.25" customHeight="1" x14ac:dyDescent="0.3">
      <c r="A12" s="4"/>
      <c r="B12" s="4"/>
      <c r="C12" s="4"/>
      <c r="D12" s="4" t="s">
        <v>35</v>
      </c>
      <c r="E12" s="4">
        <v>1</v>
      </c>
      <c r="F12" s="10">
        <v>16000</v>
      </c>
      <c r="G12" s="10"/>
    </row>
    <row r="13" spans="1:12" ht="14.25" customHeight="1" x14ac:dyDescent="0.3">
      <c r="A13" s="4"/>
      <c r="B13" s="4"/>
      <c r="C13" s="4"/>
      <c r="D13" s="4" t="s">
        <v>12</v>
      </c>
      <c r="E13" s="4">
        <v>1</v>
      </c>
      <c r="F13" s="10">
        <v>19900</v>
      </c>
      <c r="G13" s="10"/>
    </row>
    <row r="14" spans="1:12" ht="14.25" customHeight="1" x14ac:dyDescent="0.3">
      <c r="A14" s="4"/>
      <c r="B14" s="4"/>
      <c r="C14" s="4"/>
      <c r="D14" s="4" t="s">
        <v>28</v>
      </c>
      <c r="E14" s="4">
        <v>1</v>
      </c>
      <c r="F14" s="10">
        <v>10000</v>
      </c>
      <c r="G14" s="10"/>
    </row>
    <row r="15" spans="1:12" ht="14.25" customHeight="1" x14ac:dyDescent="0.3">
      <c r="A15" s="4"/>
      <c r="B15" s="4"/>
      <c r="C15" s="4"/>
      <c r="G15" s="8">
        <f>SUM(F11:F14)</f>
        <v>53400</v>
      </c>
    </row>
    <row r="16" spans="1:12" ht="14.25" customHeight="1" x14ac:dyDescent="0.3">
      <c r="A16" s="4"/>
      <c r="B16" s="4"/>
      <c r="C16" s="4"/>
      <c r="D16" s="5"/>
      <c r="E16" s="5"/>
      <c r="F16" s="11"/>
      <c r="G16" s="11"/>
    </row>
    <row r="17" spans="1:12" ht="14.25" customHeight="1" x14ac:dyDescent="0.3">
      <c r="G17" s="11"/>
    </row>
    <row r="18" spans="1:12" ht="14.25" customHeight="1" x14ac:dyDescent="0.3">
      <c r="A18" t="s">
        <v>36</v>
      </c>
      <c r="B18" t="s">
        <v>37</v>
      </c>
      <c r="C18" t="s">
        <v>39</v>
      </c>
      <c r="D18" t="s">
        <v>40</v>
      </c>
      <c r="E18">
        <v>2</v>
      </c>
      <c r="F18" s="8">
        <v>10000</v>
      </c>
      <c r="G18" s="8">
        <f>F18*E18</f>
        <v>20000</v>
      </c>
      <c r="I18" t="s">
        <v>43</v>
      </c>
      <c r="J18" t="s">
        <v>44</v>
      </c>
      <c r="L18" t="s">
        <v>65</v>
      </c>
    </row>
    <row r="19" spans="1:12" ht="14.25" customHeight="1" x14ac:dyDescent="0.3">
      <c r="B19" t="s">
        <v>38</v>
      </c>
      <c r="D19" t="s">
        <v>41</v>
      </c>
      <c r="E19">
        <v>1</v>
      </c>
      <c r="F19" s="8">
        <v>24000</v>
      </c>
      <c r="G19" s="8">
        <f t="shared" ref="G19:G20" si="1">F19*E19</f>
        <v>24000</v>
      </c>
    </row>
    <row r="20" spans="1:12" ht="14.25" customHeight="1" x14ac:dyDescent="0.3">
      <c r="D20" t="s">
        <v>35</v>
      </c>
      <c r="E20">
        <v>0.5</v>
      </c>
      <c r="F20" s="8">
        <v>16000</v>
      </c>
      <c r="G20" s="8">
        <f t="shared" si="1"/>
        <v>8000</v>
      </c>
      <c r="K20" t="s">
        <v>42</v>
      </c>
    </row>
    <row r="21" spans="1:12" ht="14.25" customHeight="1" x14ac:dyDescent="0.3">
      <c r="G21" s="8">
        <f>SUM(G18:G20)</f>
        <v>52000</v>
      </c>
    </row>
    <row r="22" spans="1:12" ht="14.25" customHeight="1" x14ac:dyDescent="0.3">
      <c r="C22" s="6"/>
    </row>
    <row r="23" spans="1:12" ht="14.25" customHeight="1" x14ac:dyDescent="0.3"/>
    <row r="24" spans="1:12" ht="14.25" customHeight="1" x14ac:dyDescent="0.3">
      <c r="A24" t="s">
        <v>45</v>
      </c>
      <c r="B24" t="s">
        <v>48</v>
      </c>
      <c r="C24" t="s">
        <v>49</v>
      </c>
      <c r="D24" t="s">
        <v>46</v>
      </c>
      <c r="E24">
        <v>1</v>
      </c>
      <c r="F24" s="8">
        <v>10000</v>
      </c>
      <c r="I24" t="s">
        <v>50</v>
      </c>
    </row>
    <row r="25" spans="1:12" ht="14.25" customHeight="1" x14ac:dyDescent="0.3">
      <c r="D25" t="s">
        <v>47</v>
      </c>
      <c r="E25">
        <v>1</v>
      </c>
      <c r="F25" s="8">
        <v>15000</v>
      </c>
      <c r="J25" t="s">
        <v>51</v>
      </c>
    </row>
    <row r="26" spans="1:12" ht="14.25" customHeight="1" x14ac:dyDescent="0.3">
      <c r="D26" t="s">
        <v>12</v>
      </c>
      <c r="E26">
        <v>1</v>
      </c>
      <c r="F26" s="8">
        <v>19900</v>
      </c>
    </row>
    <row r="27" spans="1:12" ht="14.25" customHeight="1" x14ac:dyDescent="0.3">
      <c r="G27" s="8">
        <f>SUM(F24:F26)</f>
        <v>44900</v>
      </c>
    </row>
    <row r="28" spans="1:12" ht="14.25" customHeight="1" x14ac:dyDescent="0.3"/>
    <row r="29" spans="1:12" ht="14.25" customHeight="1" x14ac:dyDescent="0.3"/>
    <row r="30" spans="1:12" ht="14.25" customHeight="1" x14ac:dyDescent="0.3">
      <c r="A30" t="s">
        <v>52</v>
      </c>
      <c r="B30" t="s">
        <v>53</v>
      </c>
      <c r="C30" t="s">
        <v>55</v>
      </c>
      <c r="D30" t="s">
        <v>34</v>
      </c>
      <c r="E30">
        <v>2</v>
      </c>
      <c r="F30" s="8">
        <v>7500</v>
      </c>
      <c r="G30" s="8">
        <f>F30*E30</f>
        <v>15000</v>
      </c>
      <c r="J30">
        <v>1700</v>
      </c>
    </row>
    <row r="31" spans="1:12" ht="14.25" customHeight="1" x14ac:dyDescent="0.3">
      <c r="B31" t="s">
        <v>54</v>
      </c>
      <c r="D31" t="s">
        <v>28</v>
      </c>
      <c r="E31">
        <v>1</v>
      </c>
      <c r="F31" s="8">
        <v>10000</v>
      </c>
      <c r="G31" s="8">
        <f>F31*E31</f>
        <v>10000</v>
      </c>
    </row>
    <row r="32" spans="1:12" ht="14.25" customHeight="1" x14ac:dyDescent="0.3">
      <c r="G32" s="8">
        <f>SUM(G30:G31)</f>
        <v>25000</v>
      </c>
    </row>
    <row r="33" spans="1:11" ht="14.25" customHeight="1" x14ac:dyDescent="0.3"/>
    <row r="34" spans="1:11" ht="14.25" customHeight="1" x14ac:dyDescent="0.3"/>
    <row r="35" spans="1:11" ht="14.25" customHeight="1" x14ac:dyDescent="0.3">
      <c r="A35" t="s">
        <v>57</v>
      </c>
      <c r="B35" t="s">
        <v>58</v>
      </c>
      <c r="C35" t="s">
        <v>60</v>
      </c>
      <c r="D35" t="s">
        <v>27</v>
      </c>
      <c r="E35">
        <v>1</v>
      </c>
      <c r="F35" s="8">
        <v>16000</v>
      </c>
      <c r="G35" s="8" t="s">
        <v>61</v>
      </c>
      <c r="I35" t="s">
        <v>62</v>
      </c>
      <c r="K35" t="s">
        <v>64</v>
      </c>
    </row>
    <row r="36" spans="1:11" ht="14.25" customHeight="1" x14ac:dyDescent="0.3">
      <c r="B36" t="s">
        <v>59</v>
      </c>
      <c r="D36" t="s">
        <v>34</v>
      </c>
      <c r="E36">
        <v>1</v>
      </c>
      <c r="F36" s="8">
        <v>7500</v>
      </c>
      <c r="H36" t="s">
        <v>63</v>
      </c>
    </row>
    <row r="37" spans="1:11" ht="14.25" customHeight="1" x14ac:dyDescent="0.3">
      <c r="D37" t="s">
        <v>28</v>
      </c>
      <c r="E37">
        <v>1</v>
      </c>
      <c r="F37" s="8">
        <v>10000</v>
      </c>
    </row>
    <row r="38" spans="1:11" ht="14.25" customHeight="1" x14ac:dyDescent="0.3">
      <c r="D38" t="s">
        <v>12</v>
      </c>
      <c r="E38">
        <v>1</v>
      </c>
      <c r="F38" s="8">
        <v>19900</v>
      </c>
    </row>
    <row r="39" spans="1:11" ht="14.25" customHeight="1" x14ac:dyDescent="0.3">
      <c r="G39" s="8">
        <f>SUM(F36:F38)</f>
        <v>37400</v>
      </c>
    </row>
    <row r="40" spans="1:11" ht="14.25" customHeight="1" x14ac:dyDescent="0.3"/>
    <row r="41" spans="1:11" ht="14.25" customHeight="1" x14ac:dyDescent="0.3"/>
    <row r="42" spans="1:11" ht="14.25" customHeight="1" x14ac:dyDescent="0.3"/>
    <row r="43" spans="1:11" ht="14.25" customHeight="1" x14ac:dyDescent="0.3"/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spans="4:7" ht="14.25" customHeight="1" x14ac:dyDescent="0.3"/>
    <row r="50" spans="4:7" ht="14.25" customHeight="1" x14ac:dyDescent="0.3"/>
    <row r="51" spans="4:7" ht="14.25" customHeight="1" x14ac:dyDescent="0.3"/>
    <row r="52" spans="4:7" ht="14.25" customHeight="1" x14ac:dyDescent="0.3"/>
    <row r="53" spans="4:7" ht="14.25" customHeight="1" x14ac:dyDescent="0.3"/>
    <row r="54" spans="4:7" ht="14.25" customHeight="1" x14ac:dyDescent="0.3"/>
    <row r="55" spans="4:7" ht="14.25" customHeight="1" x14ac:dyDescent="0.3"/>
    <row r="56" spans="4:7" ht="14.25" customHeight="1" x14ac:dyDescent="0.3"/>
    <row r="57" spans="4:7" ht="14.25" customHeight="1" x14ac:dyDescent="0.3"/>
    <row r="58" spans="4:7" ht="14.25" customHeight="1" x14ac:dyDescent="0.3">
      <c r="D58" s="14" t="s">
        <v>9</v>
      </c>
      <c r="E58" s="15"/>
      <c r="F58" s="15"/>
      <c r="G58" s="15"/>
    </row>
    <row r="59" spans="4:7" ht="14.25" customHeight="1" x14ac:dyDescent="0.3">
      <c r="D59" s="16" t="s">
        <v>10</v>
      </c>
      <c r="E59" s="15"/>
      <c r="F59" s="15"/>
      <c r="G59" s="15"/>
    </row>
    <row r="60" spans="4:7" ht="14.25" customHeight="1" x14ac:dyDescent="0.3"/>
    <row r="61" spans="4:7" ht="14.25" customHeight="1" x14ac:dyDescent="0.3"/>
    <row r="62" spans="4:7" ht="14.25" customHeight="1" x14ac:dyDescent="0.3"/>
    <row r="63" spans="4:7" ht="14.25" customHeight="1" x14ac:dyDescent="0.3"/>
    <row r="64" spans="4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70866141732283472" right="0.70866141732283472" top="0.74803149606299213" bottom="0.74803149606299213" header="0" footer="0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2025-09-29T18:38:59Z</cp:lastPrinted>
  <dcterms:created xsi:type="dcterms:W3CDTF">2025-09-06T15:36:57Z</dcterms:created>
  <dcterms:modified xsi:type="dcterms:W3CDTF">2025-09-30T21:53:13Z</dcterms:modified>
</cp:coreProperties>
</file>
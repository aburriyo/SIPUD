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Mi unidad\PuertoDistribucion\Ventas\"/>
    </mc:Choice>
  </mc:AlternateContent>
  <xr:revisionPtr revIDLastSave="0" documentId="13_ncr:1_{0AE297E7-2363-40B3-B83A-1DAE2A5CBA27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FACTURAS " sheetId="1" r:id="rId1"/>
    <sheet name="FLUJO" sheetId="2" r:id="rId2"/>
    <sheet name="ventas" sheetId="3" r:id="rId3"/>
    <sheet name="Stats" sheetId="4" r:id="rId4"/>
    <sheet name="Hoja1" sheetId="5" state="hidden" r:id="rId5"/>
    <sheet name="CONTABILIDAD " sheetId="6" r:id="rId6"/>
    <sheet name="CAJAS Y PROMOCIONES " sheetId="7" r:id="rId7"/>
  </sheets>
  <definedNames>
    <definedName name="_xleta.SUM">#NAME?</definedName>
    <definedName name="Z_EDB7B100_CC5D_481A_8451_1E52F411DEE8_.wvu.FilterData" localSheetId="0" hidden="1">'FACTURAS '!$A$1:$K$149</definedName>
  </definedNames>
  <calcPr calcId="191029"/>
  <customWorkbookViews>
    <customWorkbookView name="Facturas filter view" guid="{EDB7B100-CC5D-481A-8451-1E52F411DEE8}" maximized="1" windowWidth="0" windowHeight="0" activeSheetId="0"/>
  </customWorkbookViews>
  <pivotCaches>
    <pivotCache cacheId="0" r:id="rId8"/>
    <pivotCache cacheId="1" r:id="rId9"/>
    <pivotCache cacheId="2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12" roundtripDataChecksum="Hfq3ARCFwVz/bJKfbkw4rjpE+chzPJR4C0biKrD22s8="/>
    </ext>
  </extLst>
</workbook>
</file>

<file path=xl/calcChain.xml><?xml version="1.0" encoding="utf-8"?>
<calcChain xmlns="http://schemas.openxmlformats.org/spreadsheetml/2006/main">
  <c r="O65" i="4" l="1"/>
  <c r="O64" i="4"/>
  <c r="O63" i="4"/>
  <c r="O62" i="4"/>
  <c r="O61" i="4"/>
  <c r="O60" i="4"/>
  <c r="O59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1" i="4"/>
  <c r="O20" i="4"/>
  <c r="O19" i="4"/>
  <c r="O18" i="4"/>
  <c r="O17" i="4"/>
  <c r="O16" i="4"/>
  <c r="O15" i="4"/>
  <c r="O14" i="4"/>
  <c r="O13" i="4"/>
  <c r="O12" i="4"/>
  <c r="O11" i="4"/>
  <c r="O10" i="4"/>
  <c r="O9" i="4"/>
  <c r="O8" i="4"/>
  <c r="O7" i="4"/>
  <c r="O6" i="4"/>
  <c r="O5" i="4"/>
  <c r="O4" i="4"/>
  <c r="U2" i="3" a="1"/>
  <c r="U2" i="3" s="1"/>
  <c r="U3" i="3" a="1"/>
  <c r="U3" i="3" s="1"/>
  <c r="U4" i="3" a="1"/>
  <c r="U4" i="3" s="1"/>
  <c r="U5" i="3" a="1"/>
  <c r="U5" i="3" s="1"/>
  <c r="U6" i="3" a="1"/>
  <c r="U6" i="3" s="1"/>
  <c r="U7" i="3" a="1"/>
  <c r="U7" i="3"/>
  <c r="U8" i="3" a="1"/>
  <c r="U8" i="3" s="1"/>
  <c r="U9" i="3" a="1"/>
  <c r="U9" i="3" s="1"/>
  <c r="U10" i="3" a="1"/>
  <c r="U10" i="3" s="1"/>
  <c r="U11" i="3" a="1"/>
  <c r="U11" i="3" s="1"/>
  <c r="U12" i="3" a="1"/>
  <c r="U12" i="3" s="1"/>
  <c r="U14" i="3" a="1"/>
  <c r="U14" i="3"/>
  <c r="U16" i="3" a="1"/>
  <c r="U16" i="3" s="1"/>
  <c r="U18" i="3" a="1"/>
  <c r="U18" i="3" s="1"/>
  <c r="U19" i="3" a="1"/>
  <c r="U19" i="3" s="1"/>
  <c r="U20" i="3" a="1"/>
  <c r="U20" i="3" s="1"/>
  <c r="U21" i="3" a="1"/>
  <c r="U21" i="3" s="1"/>
  <c r="U22" i="3" a="1"/>
  <c r="U22" i="3"/>
  <c r="U23" i="3" a="1"/>
  <c r="U23" i="3" s="1"/>
  <c r="U24" i="3" a="1"/>
  <c r="U24" i="3" s="1"/>
  <c r="U25" i="3" a="1"/>
  <c r="U25" i="3" s="1"/>
  <c r="U27" i="3" a="1"/>
  <c r="U27" i="3" s="1"/>
  <c r="U28" i="3" a="1"/>
  <c r="U28" i="3" s="1"/>
  <c r="U29" i="3" a="1"/>
  <c r="U29" i="3"/>
  <c r="U30" i="3" a="1"/>
  <c r="U30" i="3" s="1"/>
  <c r="U31" i="3" a="1"/>
  <c r="U31" i="3" s="1"/>
  <c r="U32" i="3" a="1"/>
  <c r="U32" i="3" s="1"/>
  <c r="U33" i="3" a="1"/>
  <c r="U33" i="3" s="1"/>
  <c r="U34" i="3" a="1"/>
  <c r="U34" i="3" s="1"/>
  <c r="U35" i="3" a="1"/>
  <c r="U35" i="3"/>
  <c r="U36" i="3" a="1"/>
  <c r="U36" i="3" s="1"/>
  <c r="U37" i="3" a="1"/>
  <c r="U37" i="3" s="1"/>
  <c r="U38" i="3" a="1"/>
  <c r="U38" i="3" s="1"/>
  <c r="U39" i="3" a="1"/>
  <c r="U39" i="3" s="1"/>
  <c r="U40" i="3" a="1"/>
  <c r="U40" i="3" s="1"/>
  <c r="U41" i="3" a="1"/>
  <c r="U41" i="3"/>
  <c r="U42" i="3" a="1"/>
  <c r="U42" i="3" s="1"/>
  <c r="U43" i="3" a="1"/>
  <c r="U43" i="3" s="1"/>
  <c r="U44" i="3" a="1"/>
  <c r="U44" i="3" s="1"/>
  <c r="U45" i="3" a="1"/>
  <c r="U45" i="3" s="1"/>
  <c r="U46" i="3" a="1"/>
  <c r="U46" i="3" s="1"/>
  <c r="U47" i="3" a="1"/>
  <c r="U47" i="3"/>
  <c r="U48" i="3" a="1"/>
  <c r="U48" i="3" s="1"/>
  <c r="U49" i="3" a="1"/>
  <c r="U49" i="3" s="1"/>
  <c r="U50" i="3" a="1"/>
  <c r="U50" i="3" s="1"/>
  <c r="U51" i="3" a="1"/>
  <c r="U51" i="3" s="1"/>
  <c r="U52" i="3" a="1"/>
  <c r="U52" i="3" s="1"/>
  <c r="U53" i="3" a="1"/>
  <c r="U53" i="3"/>
  <c r="U54" i="3" a="1"/>
  <c r="U54" i="3" s="1"/>
  <c r="U55" i="3" a="1"/>
  <c r="U55" i="3" s="1"/>
  <c r="U57" i="3" a="1"/>
  <c r="U57" i="3" s="1"/>
  <c r="U58" i="3" a="1"/>
  <c r="U58" i="3" s="1"/>
  <c r="U59" i="3" a="1"/>
  <c r="U59" i="3" s="1"/>
  <c r="U60" i="3" a="1"/>
  <c r="U60" i="3"/>
  <c r="U61" i="3" a="1"/>
  <c r="U61" i="3" s="1"/>
  <c r="U62" i="3" a="1"/>
  <c r="U62" i="3" s="1"/>
  <c r="U64" i="3" a="1"/>
  <c r="U64" i="3" s="1"/>
  <c r="U65" i="3" a="1"/>
  <c r="U65" i="3" s="1"/>
  <c r="U66" i="3" a="1"/>
  <c r="U66" i="3" s="1"/>
  <c r="U67" i="3" a="1"/>
  <c r="U67" i="3"/>
  <c r="U68" i="3" a="1"/>
  <c r="U68" i="3" s="1"/>
  <c r="U69" i="3" a="1"/>
  <c r="U69" i="3" s="1"/>
  <c r="U70" i="3" a="1"/>
  <c r="U70" i="3" s="1"/>
  <c r="U71" i="3" a="1"/>
  <c r="U71" i="3" s="1"/>
  <c r="U72" i="3" a="1"/>
  <c r="U72" i="3" s="1"/>
  <c r="U73" i="3" a="1"/>
  <c r="U73" i="3"/>
  <c r="U74" i="3" a="1"/>
  <c r="U74" i="3" s="1"/>
  <c r="U76" i="3" a="1"/>
  <c r="U76" i="3" s="1"/>
  <c r="U77" i="3" a="1"/>
  <c r="U77" i="3" s="1"/>
  <c r="U78" i="3" a="1"/>
  <c r="U78" i="3" s="1"/>
  <c r="U79" i="3" a="1"/>
  <c r="U79" i="3" s="1"/>
  <c r="U80" i="3" a="1"/>
  <c r="U80" i="3"/>
  <c r="U81" i="3" a="1"/>
  <c r="U81" i="3" s="1"/>
  <c r="U82" i="3" a="1"/>
  <c r="U82" i="3" s="1"/>
  <c r="U83" i="3" a="1"/>
  <c r="U83" i="3" s="1"/>
  <c r="U84" i="3" a="1"/>
  <c r="U84" i="3" s="1"/>
  <c r="U85" i="3" a="1"/>
  <c r="U85" i="3" s="1"/>
  <c r="U86" i="3" a="1"/>
  <c r="U86" i="3"/>
  <c r="U87" i="3" a="1"/>
  <c r="U87" i="3" s="1"/>
  <c r="U88" i="3" a="1"/>
  <c r="U88" i="3" s="1"/>
  <c r="U89" i="3" a="1"/>
  <c r="U89" i="3" s="1"/>
  <c r="U90" i="3" a="1"/>
  <c r="U90" i="3" s="1"/>
  <c r="U92" i="3" a="1"/>
  <c r="U92" i="3" s="1"/>
  <c r="U93" i="3" a="1"/>
  <c r="U93" i="3"/>
  <c r="U94" i="3" a="1"/>
  <c r="U94" i="3" s="1"/>
  <c r="U95" i="3" a="1"/>
  <c r="U95" i="3" s="1"/>
  <c r="U96" i="3" a="1"/>
  <c r="U96" i="3" s="1"/>
  <c r="U97" i="3" a="1"/>
  <c r="U97" i="3" s="1"/>
  <c r="U98" i="3" a="1"/>
  <c r="U98" i="3" s="1"/>
  <c r="U99" i="3" a="1"/>
  <c r="U99" i="3"/>
  <c r="U100" i="3" a="1"/>
  <c r="U100" i="3" s="1"/>
  <c r="U101" i="3" a="1"/>
  <c r="U101" i="3" s="1"/>
  <c r="U102" i="3" a="1"/>
  <c r="U102" i="3" s="1"/>
  <c r="U103" i="3" a="1"/>
  <c r="U103" i="3" s="1"/>
  <c r="U104" i="3" a="1"/>
  <c r="U104" i="3" s="1"/>
  <c r="U105" i="3" a="1"/>
  <c r="U105" i="3"/>
  <c r="U106" i="3" a="1"/>
  <c r="U106" i="3" s="1"/>
  <c r="U107" i="3" a="1"/>
  <c r="U107" i="3" s="1"/>
  <c r="U108" i="3" a="1"/>
  <c r="U108" i="3" s="1"/>
  <c r="U109" i="3" a="1"/>
  <c r="U109" i="3" s="1"/>
  <c r="U110" i="3" a="1"/>
  <c r="U110" i="3" s="1"/>
  <c r="U111" i="3" a="1"/>
  <c r="U111" i="3"/>
  <c r="U112" i="3" a="1"/>
  <c r="U112" i="3" s="1"/>
  <c r="U113" i="3" a="1"/>
  <c r="U113" i="3" s="1"/>
  <c r="U114" i="3" a="1"/>
  <c r="U114" i="3" s="1"/>
  <c r="U115" i="3" a="1"/>
  <c r="U115" i="3" s="1"/>
  <c r="U116" i="3" a="1"/>
  <c r="U116" i="3" s="1"/>
  <c r="U117" i="3" a="1"/>
  <c r="U117" i="3"/>
  <c r="U118" i="3" a="1"/>
  <c r="U118" i="3" s="1"/>
  <c r="U119" i="3" a="1"/>
  <c r="U119" i="3" s="1"/>
  <c r="U120" i="3" a="1"/>
  <c r="U120" i="3" s="1"/>
  <c r="U121" i="3" a="1"/>
  <c r="U121" i="3" s="1"/>
  <c r="U122" i="3" a="1"/>
  <c r="U122" i="3" s="1"/>
  <c r="U123" i="3" a="1"/>
  <c r="U123" i="3"/>
  <c r="U124" i="3" a="1"/>
  <c r="U124" i="3" s="1"/>
  <c r="U125" i="3" a="1"/>
  <c r="U125" i="3" s="1"/>
  <c r="U126" i="3" a="1"/>
  <c r="U126" i="3" s="1"/>
  <c r="U127" i="3" a="1"/>
  <c r="U127" i="3" s="1"/>
  <c r="U128" i="3" a="1"/>
  <c r="U128" i="3" s="1"/>
  <c r="U129" i="3" a="1"/>
  <c r="U129" i="3"/>
  <c r="U130" i="3" a="1"/>
  <c r="U130" i="3" s="1"/>
  <c r="U131" i="3" a="1"/>
  <c r="U131" i="3" s="1"/>
  <c r="U132" i="3" a="1"/>
  <c r="U132" i="3" s="1"/>
  <c r="U133" i="3" a="1"/>
  <c r="U133" i="3" s="1"/>
  <c r="U134" i="3" a="1"/>
  <c r="U134" i="3" s="1"/>
  <c r="U135" i="3" a="1"/>
  <c r="U135" i="3"/>
  <c r="U136" i="3" a="1"/>
  <c r="U136" i="3" s="1"/>
  <c r="U137" i="3" a="1"/>
  <c r="U137" i="3" s="1"/>
  <c r="U138" i="3" a="1"/>
  <c r="U138" i="3" s="1"/>
  <c r="U139" i="3" a="1"/>
  <c r="U139" i="3" s="1"/>
  <c r="U140" i="3" a="1"/>
  <c r="U140" i="3" s="1"/>
  <c r="U141" i="3" a="1"/>
  <c r="U141" i="3"/>
  <c r="U142" i="3" a="1"/>
  <c r="U142" i="3" s="1"/>
  <c r="U143" i="3" a="1"/>
  <c r="U143" i="3" s="1"/>
  <c r="U144" i="3" a="1"/>
  <c r="U144" i="3" s="1"/>
  <c r="U147" i="3" a="1"/>
  <c r="U147" i="3" s="1"/>
  <c r="U148" i="3" a="1"/>
  <c r="U148" i="3" s="1"/>
  <c r="U149" i="3" a="1"/>
  <c r="U149" i="3"/>
  <c r="U150" i="3" a="1"/>
  <c r="U150" i="3" s="1"/>
  <c r="U151" i="3" a="1"/>
  <c r="U151" i="3" s="1"/>
  <c r="U152" i="3" a="1"/>
  <c r="U152" i="3" s="1"/>
  <c r="U153" i="3" a="1"/>
  <c r="U153" i="3" s="1"/>
  <c r="U154" i="3" a="1"/>
  <c r="U154" i="3" s="1"/>
  <c r="U155" i="3" a="1"/>
  <c r="U155" i="3"/>
  <c r="U156" i="3" a="1"/>
  <c r="U156" i="3" s="1"/>
  <c r="U158" i="3" a="1"/>
  <c r="U158" i="3" s="1"/>
  <c r="U159" i="3" a="1"/>
  <c r="U159" i="3" s="1"/>
  <c r="U160" i="3" a="1"/>
  <c r="U160" i="3" s="1"/>
  <c r="U161" i="3" a="1"/>
  <c r="U161" i="3" s="1"/>
  <c r="U162" i="3" a="1"/>
  <c r="U162" i="3"/>
  <c r="U163" i="3" a="1"/>
  <c r="U163" i="3" s="1"/>
  <c r="U164" i="3" a="1"/>
  <c r="U164" i="3" s="1"/>
  <c r="U165" i="3" a="1"/>
  <c r="U165" i="3" s="1"/>
  <c r="U166" i="3" a="1"/>
  <c r="U166" i="3" s="1"/>
  <c r="U167" i="3" a="1"/>
  <c r="U167" i="3" s="1"/>
  <c r="U168" i="3" a="1"/>
  <c r="U168" i="3"/>
  <c r="U169" i="3" a="1"/>
  <c r="U169" i="3" s="1"/>
  <c r="U170" i="3" a="1"/>
  <c r="U170" i="3" s="1"/>
  <c r="U171" i="3" a="1"/>
  <c r="U171" i="3" s="1"/>
  <c r="U172" i="3" a="1"/>
  <c r="U172" i="3" s="1"/>
  <c r="U173" i="3" a="1"/>
  <c r="U173" i="3" s="1"/>
  <c r="U174" i="3" a="1"/>
  <c r="U174" i="3"/>
  <c r="U175" i="3" a="1"/>
  <c r="U175" i="3" s="1"/>
  <c r="U176" i="3" a="1"/>
  <c r="U176" i="3" s="1"/>
  <c r="U177" i="3" a="1"/>
  <c r="U177" i="3" s="1"/>
  <c r="U178" i="3" a="1"/>
  <c r="U178" i="3" s="1"/>
  <c r="U179" i="3" a="1"/>
  <c r="U179" i="3" s="1"/>
  <c r="U180" i="3" a="1"/>
  <c r="U180" i="3"/>
  <c r="U181" i="3" a="1"/>
  <c r="U181" i="3" s="1"/>
  <c r="U182" i="3" a="1"/>
  <c r="U182" i="3" s="1"/>
  <c r="U183" i="3" a="1"/>
  <c r="U183" i="3" s="1"/>
  <c r="U184" i="3" a="1"/>
  <c r="U184" i="3" s="1"/>
  <c r="U185" i="3" a="1"/>
  <c r="U185" i="3" s="1"/>
  <c r="U186" i="3" a="1"/>
  <c r="U186" i="3"/>
  <c r="U187" i="3" a="1"/>
  <c r="U187" i="3" s="1"/>
  <c r="U188" i="3" a="1"/>
  <c r="U188" i="3" s="1"/>
  <c r="U189" i="3" a="1"/>
  <c r="U189" i="3" s="1"/>
  <c r="U190" i="3" a="1"/>
  <c r="U190" i="3" s="1"/>
  <c r="U191" i="3" a="1"/>
  <c r="U191" i="3" s="1"/>
  <c r="U192" i="3" a="1"/>
  <c r="U192" i="3"/>
  <c r="U193" i="3" a="1"/>
  <c r="U193" i="3" s="1"/>
  <c r="U194" i="3" a="1"/>
  <c r="U194" i="3" s="1"/>
  <c r="U195" i="3" a="1"/>
  <c r="U195" i="3" s="1"/>
  <c r="U196" i="3" a="1"/>
  <c r="U196" i="3" s="1"/>
  <c r="U197" i="3" a="1"/>
  <c r="U197" i="3" s="1"/>
  <c r="U199" i="3" a="1"/>
  <c r="U199" i="3"/>
  <c r="U200" i="3" a="1"/>
  <c r="U200" i="3" s="1"/>
  <c r="U201" i="3" a="1"/>
  <c r="U201" i="3" s="1"/>
  <c r="U204" i="3" a="1"/>
  <c r="U204" i="3" s="1"/>
  <c r="U205" i="3" a="1"/>
  <c r="U205" i="3" s="1"/>
  <c r="U207" i="3" a="1"/>
  <c r="U207" i="3" s="1"/>
  <c r="U213" i="3" a="1"/>
  <c r="U213" i="3"/>
  <c r="U214" i="3" a="1"/>
  <c r="U214" i="3" s="1"/>
  <c r="U216" i="3" a="1"/>
  <c r="U216" i="3" s="1"/>
  <c r="U217" i="3" a="1"/>
  <c r="U217" i="3" s="1"/>
  <c r="U218" i="3" a="1"/>
  <c r="U218" i="3" s="1"/>
  <c r="U219" i="3" a="1"/>
  <c r="U219" i="3" s="1"/>
  <c r="U221" i="3" a="1"/>
  <c r="U221" i="3" s="1"/>
  <c r="U224" i="3" a="1"/>
  <c r="U224" i="3" s="1"/>
  <c r="U225" i="3" a="1"/>
  <c r="U225" i="3" s="1"/>
  <c r="U226" i="3" a="1"/>
  <c r="U226" i="3"/>
  <c r="U227" i="3" a="1"/>
  <c r="U227" i="3" s="1"/>
  <c r="U228" i="3" a="1"/>
  <c r="U228" i="3" s="1"/>
  <c r="U229" i="3" a="1"/>
  <c r="U229" i="3" s="1"/>
  <c r="U230" i="3" a="1"/>
  <c r="U230" i="3" s="1"/>
  <c r="U231" i="3" a="1"/>
  <c r="U231" i="3" s="1"/>
  <c r="U232" i="3" a="1"/>
  <c r="U232" i="3" s="1"/>
  <c r="U233" i="3" a="1"/>
  <c r="U233" i="3" s="1"/>
  <c r="U234" i="3" a="1"/>
  <c r="U234" i="3" s="1"/>
  <c r="U235" i="3" a="1"/>
  <c r="U235" i="3" s="1"/>
  <c r="U236" i="3" a="1"/>
  <c r="U236" i="3" s="1"/>
  <c r="U237" i="3" a="1"/>
  <c r="U237" i="3" s="1"/>
  <c r="U238" i="3" a="1"/>
  <c r="U238" i="3" s="1"/>
  <c r="U239" i="3" a="1"/>
  <c r="U239" i="3" s="1"/>
  <c r="U240" i="3" a="1"/>
  <c r="U240" i="3" s="1"/>
  <c r="U241" i="3" a="1"/>
  <c r="U241" i="3" s="1"/>
  <c r="U242" i="3" a="1"/>
  <c r="U242" i="3" s="1"/>
  <c r="U243" i="3" a="1"/>
  <c r="U243" i="3" s="1"/>
  <c r="U244" i="3" a="1"/>
  <c r="U244" i="3" s="1"/>
  <c r="U245" i="3" a="1"/>
  <c r="U245" i="3" s="1"/>
  <c r="U246" i="3" a="1"/>
  <c r="U246" i="3" s="1"/>
  <c r="U247" i="3" a="1"/>
  <c r="U247" i="3" s="1"/>
  <c r="U248" i="3" a="1"/>
  <c r="U248" i="3" s="1"/>
  <c r="U249" i="3" a="1"/>
  <c r="U249" i="3" s="1"/>
  <c r="U250" i="3" a="1"/>
  <c r="U250" i="3" s="1"/>
  <c r="U251" i="3" a="1"/>
  <c r="U251" i="3" s="1"/>
  <c r="H120" i="7"/>
  <c r="F120" i="7"/>
  <c r="G120" i="7" s="1"/>
  <c r="H119" i="7"/>
  <c r="F119" i="7"/>
  <c r="G119" i="7" s="1"/>
  <c r="P118" i="7"/>
  <c r="O118" i="7"/>
  <c r="N118" i="7"/>
  <c r="H118" i="7"/>
  <c r="F118" i="7"/>
  <c r="G118" i="7" s="1"/>
  <c r="P117" i="7"/>
  <c r="O117" i="7"/>
  <c r="N117" i="7"/>
  <c r="H117" i="7"/>
  <c r="F117" i="7"/>
  <c r="G117" i="7" s="1"/>
  <c r="P116" i="7"/>
  <c r="O116" i="7"/>
  <c r="N116" i="7"/>
  <c r="H116" i="7"/>
  <c r="F116" i="7"/>
  <c r="G116" i="7" s="1"/>
  <c r="P115" i="7"/>
  <c r="P120" i="7" s="1"/>
  <c r="O115" i="7"/>
  <c r="O120" i="7" s="1"/>
  <c r="N115" i="7"/>
  <c r="N120" i="7" s="1"/>
  <c r="H115" i="7"/>
  <c r="F115" i="7"/>
  <c r="G115" i="7" s="1"/>
  <c r="F114" i="7"/>
  <c r="H114" i="7" s="1"/>
  <c r="H113" i="7"/>
  <c r="F113" i="7"/>
  <c r="G113" i="7" s="1"/>
  <c r="G112" i="7"/>
  <c r="F112" i="7"/>
  <c r="H112" i="7" s="1"/>
  <c r="H111" i="7"/>
  <c r="F111" i="7"/>
  <c r="G111" i="7" s="1"/>
  <c r="F110" i="7"/>
  <c r="H110" i="7" s="1"/>
  <c r="H109" i="7"/>
  <c r="G109" i="7"/>
  <c r="F108" i="7"/>
  <c r="H108" i="7" s="1"/>
  <c r="H107" i="7"/>
  <c r="G107" i="7"/>
  <c r="F107" i="7"/>
  <c r="F106" i="7"/>
  <c r="H106" i="7" s="1"/>
  <c r="F100" i="7"/>
  <c r="E100" i="7"/>
  <c r="F99" i="7"/>
  <c r="F98" i="7"/>
  <c r="F97" i="7"/>
  <c r="F96" i="7"/>
  <c r="F95" i="7"/>
  <c r="F94" i="7"/>
  <c r="F93" i="7"/>
  <c r="F92" i="7"/>
  <c r="F91" i="7"/>
  <c r="E86" i="7"/>
  <c r="F85" i="7"/>
  <c r="F84" i="7"/>
  <c r="F83" i="7"/>
  <c r="F82" i="7"/>
  <c r="F81" i="7"/>
  <c r="F86" i="7" s="1"/>
  <c r="F80" i="7"/>
  <c r="F79" i="7"/>
  <c r="F78" i="7"/>
  <c r="E73" i="7"/>
  <c r="D73" i="7"/>
  <c r="F72" i="7"/>
  <c r="F71" i="7"/>
  <c r="F70" i="7"/>
  <c r="F69" i="7"/>
  <c r="F68" i="7"/>
  <c r="F67" i="7"/>
  <c r="F66" i="7"/>
  <c r="F65" i="7"/>
  <c r="F73" i="7" s="1"/>
  <c r="F64" i="7"/>
  <c r="E59" i="7"/>
  <c r="F58" i="7"/>
  <c r="F57" i="7"/>
  <c r="F56" i="7"/>
  <c r="F55" i="7"/>
  <c r="F54" i="7"/>
  <c r="F53" i="7"/>
  <c r="F52" i="7"/>
  <c r="F51" i="7"/>
  <c r="F50" i="7"/>
  <c r="F49" i="7"/>
  <c r="F48" i="7"/>
  <c r="F47" i="7"/>
  <c r="F46" i="7"/>
  <c r="F45" i="7"/>
  <c r="F44" i="7"/>
  <c r="F43" i="7"/>
  <c r="F42" i="7"/>
  <c r="F41" i="7"/>
  <c r="F40" i="7"/>
  <c r="F39" i="7"/>
  <c r="F38" i="7"/>
  <c r="F59" i="7" s="1"/>
  <c r="F37" i="7"/>
  <c r="E32" i="7"/>
  <c r="D32" i="7"/>
  <c r="F31" i="7"/>
  <c r="F30" i="7"/>
  <c r="F29" i="7"/>
  <c r="F28" i="7"/>
  <c r="F27" i="7"/>
  <c r="F26" i="7"/>
  <c r="F25" i="7"/>
  <c r="F24" i="7"/>
  <c r="F23" i="7"/>
  <c r="F22" i="7"/>
  <c r="F21" i="7"/>
  <c r="F20" i="7"/>
  <c r="F19" i="7"/>
  <c r="F32" i="7" s="1"/>
  <c r="F18" i="7"/>
  <c r="E13" i="7"/>
  <c r="F12" i="7"/>
  <c r="F11" i="7"/>
  <c r="F10" i="7"/>
  <c r="F9" i="7"/>
  <c r="F8" i="7"/>
  <c r="F7" i="7"/>
  <c r="F6" i="7"/>
  <c r="F5" i="7"/>
  <c r="F4" i="7"/>
  <c r="F3" i="7"/>
  <c r="F13" i="7" s="1"/>
  <c r="C18" i="6"/>
  <c r="B18" i="6"/>
  <c r="D18" i="6" s="1"/>
  <c r="D17" i="6"/>
  <c r="C17" i="6"/>
  <c r="B17" i="6"/>
  <c r="C16" i="6"/>
  <c r="D16" i="6" s="1"/>
  <c r="B16" i="6"/>
  <c r="D15" i="6"/>
  <c r="C15" i="6"/>
  <c r="B15" i="6"/>
  <c r="C14" i="6"/>
  <c r="D14" i="6" s="1"/>
  <c r="B14" i="6"/>
  <c r="D13" i="6"/>
  <c r="C13" i="6"/>
  <c r="B13" i="6"/>
  <c r="C12" i="6"/>
  <c r="D12" i="6" s="1"/>
  <c r="B12" i="6"/>
  <c r="D11" i="6"/>
  <c r="C11" i="6"/>
  <c r="B11" i="6"/>
  <c r="C10" i="6"/>
  <c r="B10" i="6"/>
  <c r="D10" i="6" s="1"/>
  <c r="D9" i="6"/>
  <c r="C9" i="6"/>
  <c r="B9" i="6"/>
  <c r="C8" i="6"/>
  <c r="B8" i="6"/>
  <c r="D8" i="6" s="1"/>
  <c r="D7" i="6"/>
  <c r="C7" i="6"/>
  <c r="B7" i="6"/>
  <c r="C6" i="6"/>
  <c r="B6" i="6"/>
  <c r="D6" i="6" s="1"/>
  <c r="D5" i="6"/>
  <c r="C5" i="6"/>
  <c r="B5" i="6"/>
  <c r="C4" i="6"/>
  <c r="B4" i="6"/>
  <c r="D4" i="6" s="1"/>
  <c r="D3" i="6"/>
  <c r="C3" i="6"/>
  <c r="B3" i="6"/>
  <c r="C2" i="6"/>
  <c r="B2" i="6"/>
  <c r="D2" i="6" s="1"/>
  <c r="T251" i="3"/>
  <c r="T250" i="3"/>
  <c r="T249" i="3"/>
  <c r="T248" i="3"/>
  <c r="T247" i="3"/>
  <c r="T246" i="3"/>
  <c r="T245" i="3"/>
  <c r="T244" i="3"/>
  <c r="T243" i="3"/>
  <c r="T242" i="3"/>
  <c r="T241" i="3"/>
  <c r="T240" i="3"/>
  <c r="T239" i="3"/>
  <c r="T238" i="3"/>
  <c r="T237" i="3"/>
  <c r="T236" i="3"/>
  <c r="T235" i="3"/>
  <c r="T234" i="3"/>
  <c r="T233" i="3"/>
  <c r="T232" i="3"/>
  <c r="T231" i="3"/>
  <c r="T230" i="3"/>
  <c r="T229" i="3"/>
  <c r="T228" i="3"/>
  <c r="T227" i="3"/>
  <c r="T226" i="3"/>
  <c r="T225" i="3"/>
  <c r="T224" i="3"/>
  <c r="T223" i="3"/>
  <c r="T222" i="3"/>
  <c r="T221" i="3"/>
  <c r="T220" i="3"/>
  <c r="T219" i="3"/>
  <c r="T218" i="3"/>
  <c r="T217" i="3"/>
  <c r="T216" i="3"/>
  <c r="T215" i="3"/>
  <c r="T214" i="3"/>
  <c r="T213" i="3"/>
  <c r="T212" i="3"/>
  <c r="T211" i="3"/>
  <c r="T210" i="3"/>
  <c r="T209" i="3"/>
  <c r="T208" i="3"/>
  <c r="T207" i="3"/>
  <c r="T206" i="3"/>
  <c r="T205" i="3"/>
  <c r="T204" i="3"/>
  <c r="T203" i="3"/>
  <c r="T202" i="3"/>
  <c r="T201" i="3"/>
  <c r="T200" i="3"/>
  <c r="T199" i="3"/>
  <c r="T198" i="3"/>
  <c r="T197" i="3"/>
  <c r="T196" i="3"/>
  <c r="T195" i="3"/>
  <c r="T194" i="3"/>
  <c r="T193" i="3"/>
  <c r="T192" i="3"/>
  <c r="T191" i="3"/>
  <c r="T190" i="3"/>
  <c r="T189" i="3"/>
  <c r="T188" i="3"/>
  <c r="T187" i="3"/>
  <c r="T186" i="3"/>
  <c r="T185" i="3"/>
  <c r="T184" i="3"/>
  <c r="T183" i="3"/>
  <c r="T182" i="3"/>
  <c r="T181" i="3"/>
  <c r="T180" i="3"/>
  <c r="T179" i="3"/>
  <c r="T178" i="3"/>
  <c r="T177" i="3"/>
  <c r="T176" i="3"/>
  <c r="T175" i="3"/>
  <c r="T174" i="3"/>
  <c r="T173" i="3"/>
  <c r="T172" i="3"/>
  <c r="T171" i="3"/>
  <c r="T170" i="3"/>
  <c r="T169" i="3"/>
  <c r="T168" i="3"/>
  <c r="T167" i="3"/>
  <c r="T166" i="3"/>
  <c r="T165" i="3"/>
  <c r="T164" i="3"/>
  <c r="T163" i="3"/>
  <c r="T162" i="3"/>
  <c r="T161" i="3"/>
  <c r="T160" i="3"/>
  <c r="T159" i="3"/>
  <c r="T158" i="3"/>
  <c r="T157" i="3"/>
  <c r="T156" i="3"/>
  <c r="T155" i="3"/>
  <c r="T154" i="3"/>
  <c r="T153" i="3"/>
  <c r="T152" i="3"/>
  <c r="T151" i="3"/>
  <c r="T150" i="3"/>
  <c r="T149" i="3"/>
  <c r="T148" i="3"/>
  <c r="T147" i="3"/>
  <c r="T146" i="3"/>
  <c r="T145" i="3"/>
  <c r="T144" i="3"/>
  <c r="T143" i="3"/>
  <c r="T142" i="3"/>
  <c r="T141" i="3"/>
  <c r="T140" i="3"/>
  <c r="T139" i="3"/>
  <c r="T138" i="3"/>
  <c r="T137" i="3"/>
  <c r="T136" i="3"/>
  <c r="T135" i="3"/>
  <c r="T134" i="3"/>
  <c r="T133" i="3"/>
  <c r="T132" i="3"/>
  <c r="T131" i="3"/>
  <c r="T130" i="3"/>
  <c r="T129" i="3"/>
  <c r="T128" i="3"/>
  <c r="T127" i="3"/>
  <c r="T126" i="3"/>
  <c r="T125" i="3"/>
  <c r="T124" i="3"/>
  <c r="T123" i="3"/>
  <c r="T122" i="3"/>
  <c r="T121" i="3"/>
  <c r="T120" i="3"/>
  <c r="T119" i="3"/>
  <c r="T118" i="3"/>
  <c r="T117" i="3"/>
  <c r="T116" i="3"/>
  <c r="T115" i="3"/>
  <c r="T114" i="3"/>
  <c r="T113" i="3"/>
  <c r="T112" i="3"/>
  <c r="T111" i="3"/>
  <c r="T110" i="3"/>
  <c r="T109" i="3"/>
  <c r="T108" i="3"/>
  <c r="T107" i="3"/>
  <c r="T106" i="3"/>
  <c r="T105" i="3"/>
  <c r="T104" i="3"/>
  <c r="T103" i="3"/>
  <c r="T102" i="3"/>
  <c r="T101" i="3"/>
  <c r="T100" i="3"/>
  <c r="T99" i="3"/>
  <c r="T98" i="3"/>
  <c r="T97" i="3"/>
  <c r="T96" i="3"/>
  <c r="T95" i="3"/>
  <c r="T94" i="3"/>
  <c r="T93" i="3"/>
  <c r="T92" i="3"/>
  <c r="T91" i="3"/>
  <c r="T90" i="3"/>
  <c r="T89" i="3"/>
  <c r="T88" i="3"/>
  <c r="T87" i="3"/>
  <c r="T86" i="3"/>
  <c r="T85" i="3"/>
  <c r="T84" i="3"/>
  <c r="T83" i="3"/>
  <c r="T82" i="3"/>
  <c r="T81" i="3"/>
  <c r="T80" i="3"/>
  <c r="T79" i="3"/>
  <c r="T78" i="3"/>
  <c r="T77" i="3"/>
  <c r="T76" i="3"/>
  <c r="T75" i="3"/>
  <c r="T74" i="3"/>
  <c r="T73" i="3"/>
  <c r="T72" i="3"/>
  <c r="T71" i="3"/>
  <c r="T70" i="3"/>
  <c r="T69" i="3"/>
  <c r="T68" i="3"/>
  <c r="T67" i="3"/>
  <c r="T66" i="3"/>
  <c r="T65" i="3"/>
  <c r="T64" i="3"/>
  <c r="T63" i="3"/>
  <c r="T62" i="3"/>
  <c r="T61" i="3"/>
  <c r="T60" i="3"/>
  <c r="T59" i="3"/>
  <c r="T58" i="3"/>
  <c r="T57" i="3"/>
  <c r="T56" i="3"/>
  <c r="T55" i="3"/>
  <c r="T54" i="3"/>
  <c r="T53" i="3"/>
  <c r="T52" i="3"/>
  <c r="T51" i="3"/>
  <c r="T50" i="3"/>
  <c r="T49" i="3"/>
  <c r="T48" i="3"/>
  <c r="T47" i="3"/>
  <c r="T46" i="3"/>
  <c r="T45" i="3"/>
  <c r="T44" i="3"/>
  <c r="T43" i="3"/>
  <c r="T42" i="3"/>
  <c r="T41" i="3"/>
  <c r="T40" i="3"/>
  <c r="T39" i="3"/>
  <c r="T38" i="3"/>
  <c r="T37" i="3"/>
  <c r="T36" i="3"/>
  <c r="T35" i="3"/>
  <c r="T34" i="3"/>
  <c r="T33" i="3"/>
  <c r="T32" i="3"/>
  <c r="T31" i="3"/>
  <c r="T30" i="3"/>
  <c r="T29" i="3"/>
  <c r="T28" i="3"/>
  <c r="T27" i="3"/>
  <c r="T26" i="3"/>
  <c r="T25" i="3"/>
  <c r="T24" i="3"/>
  <c r="T23" i="3"/>
  <c r="T22" i="3"/>
  <c r="T21" i="3"/>
  <c r="T20" i="3"/>
  <c r="T19" i="3"/>
  <c r="T18" i="3"/>
  <c r="T17" i="3"/>
  <c r="T16" i="3"/>
  <c r="T15" i="3"/>
  <c r="T14" i="3"/>
  <c r="T13" i="3"/>
  <c r="T12" i="3"/>
  <c r="T11" i="3"/>
  <c r="T10" i="3"/>
  <c r="T9" i="3"/>
  <c r="T8" i="3"/>
  <c r="T7" i="3"/>
  <c r="T6" i="3"/>
  <c r="T5" i="3"/>
  <c r="T4" i="3"/>
  <c r="AI3" i="3" a="1"/>
  <c r="AU3" i="3" s="1"/>
  <c r="T3" i="3"/>
  <c r="T2" i="3"/>
  <c r="C17" i="2"/>
  <c r="C11" i="2"/>
  <c r="C7" i="2"/>
  <c r="C6" i="2"/>
  <c r="B4" i="2"/>
  <c r="B3" i="2"/>
  <c r="B2" i="2"/>
  <c r="P2" i="1"/>
  <c r="M2" i="1"/>
  <c r="E36" i="2"/>
  <c r="H29" i="2"/>
  <c r="H35" i="2"/>
  <c r="H28" i="2"/>
  <c r="E35" i="2"/>
  <c r="H34" i="2"/>
  <c r="H26" i="2"/>
  <c r="E34" i="2"/>
  <c r="H33" i="2"/>
  <c r="E33" i="2"/>
  <c r="H32" i="2"/>
  <c r="E32" i="2"/>
  <c r="H30" i="2"/>
  <c r="H27" i="2"/>
  <c r="H31" i="2"/>
  <c r="E31" i="2"/>
  <c r="H36" i="2"/>
  <c r="D19" i="6" l="1"/>
  <c r="AV3" i="3"/>
  <c r="AK3" i="3"/>
  <c r="AW3" i="3"/>
  <c r="AJ3" i="3"/>
  <c r="AL3" i="3"/>
  <c r="G110" i="7"/>
  <c r="G114" i="7"/>
  <c r="G106" i="7"/>
  <c r="AN3" i="3"/>
  <c r="AM3" i="3"/>
  <c r="AO3" i="3"/>
  <c r="AP3" i="3"/>
  <c r="AQ3" i="3"/>
  <c r="AR3" i="3"/>
  <c r="AS3" i="3"/>
  <c r="G108" i="7"/>
  <c r="AI3" i="3"/>
  <c r="AT3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<sst xmlns="http://schemas.openxmlformats.org/spreadsheetml/2006/main" count="1044" uniqueCount="381">
  <si>
    <t>Proveedor</t>
  </si>
  <si>
    <t>fecha</t>
  </si>
  <si>
    <t>ESTADO</t>
  </si>
  <si>
    <t xml:space="preserve">Nº de factura </t>
  </si>
  <si>
    <t xml:space="preserve">Producto </t>
  </si>
  <si>
    <t xml:space="preserve">cantidad </t>
  </si>
  <si>
    <t>valor unitario</t>
  </si>
  <si>
    <t>valor factura</t>
  </si>
  <si>
    <t xml:space="preserve">observaciones </t>
  </si>
  <si>
    <t>Columna1</t>
  </si>
  <si>
    <t>@dropdown</t>
  </si>
  <si>
    <t xml:space="preserve">deuda </t>
  </si>
  <si>
    <t>sin iva</t>
  </si>
  <si>
    <t>con iva</t>
  </si>
  <si>
    <t>Nota de credito</t>
  </si>
  <si>
    <t xml:space="preserve">Nº </t>
  </si>
  <si>
    <t xml:space="preserve">valor </t>
  </si>
  <si>
    <t>AlimentoChile</t>
  </si>
  <si>
    <t>caja semanal</t>
  </si>
  <si>
    <t>total a pagar</t>
  </si>
  <si>
    <t>varios</t>
  </si>
  <si>
    <t>devolucion</t>
  </si>
  <si>
    <t>caja kids</t>
  </si>
  <si>
    <t>sin nuggets</t>
  </si>
  <si>
    <t>caja bolsillo feliz</t>
  </si>
  <si>
    <t>caja mensual</t>
  </si>
  <si>
    <t>promo arroz</t>
  </si>
  <si>
    <t>promo atun</t>
  </si>
  <si>
    <t>promo aceite</t>
  </si>
  <si>
    <t>caja economica</t>
  </si>
  <si>
    <t xml:space="preserve">queso </t>
  </si>
  <si>
    <t>promo fideos</t>
  </si>
  <si>
    <t>faltan 2 jurel y dos jibias</t>
  </si>
  <si>
    <t>promo jurel</t>
  </si>
  <si>
    <t>promo mariscos</t>
  </si>
  <si>
    <t>promo salmon</t>
  </si>
  <si>
    <t>promo porotos</t>
  </si>
  <si>
    <t>primavera</t>
  </si>
  <si>
    <t>choclo</t>
  </si>
  <si>
    <t>arvejas</t>
  </si>
  <si>
    <t>mix porotos</t>
  </si>
  <si>
    <t>poroto verde</t>
  </si>
  <si>
    <t>atun lomo</t>
  </si>
  <si>
    <t>promo lentejas</t>
  </si>
  <si>
    <t>promo jibia</t>
  </si>
  <si>
    <t>aceite mayaca 250ml</t>
  </si>
  <si>
    <t>continuacion de la mensual anterior</t>
  </si>
  <si>
    <t>salsa de tomate</t>
  </si>
  <si>
    <t>promosxma</t>
  </si>
  <si>
    <t>para completar cajas</t>
  </si>
  <si>
    <t>espirales, harina, burger, prefritas, salsa de tomte, fideos</t>
  </si>
  <si>
    <t>PAGADO</t>
  </si>
  <si>
    <t>Jose Acuña</t>
  </si>
  <si>
    <t>promo choritos</t>
  </si>
  <si>
    <t>incluye pickle, salsa, burger,duquesa y prefritas</t>
  </si>
  <si>
    <t>aceite 900ml</t>
  </si>
  <si>
    <t>retiro</t>
  </si>
  <si>
    <t>caja personalizada</t>
  </si>
  <si>
    <t>caja del pedido N°201</t>
  </si>
  <si>
    <t xml:space="preserve">tipo de promocion </t>
  </si>
  <si>
    <t xml:space="preserve">cantidad recepcionada </t>
  </si>
  <si>
    <t>stock</t>
  </si>
  <si>
    <t>en proceso</t>
  </si>
  <si>
    <t>cantidad vendida</t>
  </si>
  <si>
    <t>Etiquetas de fila</t>
  </si>
  <si>
    <t xml:space="preserve">Suma de cantidad </t>
  </si>
  <si>
    <t>caja niños</t>
  </si>
  <si>
    <t>caja desayuno</t>
  </si>
  <si>
    <t>pack arroz</t>
  </si>
  <si>
    <t>pack atun</t>
  </si>
  <si>
    <t>botellon aceite</t>
  </si>
  <si>
    <t>pack azucar flor</t>
  </si>
  <si>
    <t>pack tallarines</t>
  </si>
  <si>
    <t>pack jurel</t>
  </si>
  <si>
    <t>pack surtidos</t>
  </si>
  <si>
    <t>pack salmon</t>
  </si>
  <si>
    <t>pack poroto</t>
  </si>
  <si>
    <t>pack verduras</t>
  </si>
  <si>
    <t>Total general</t>
  </si>
  <si>
    <t>pack jibia</t>
  </si>
  <si>
    <t>STOCK</t>
  </si>
  <si>
    <t>CONTAR A PARTIR DEL 10-11</t>
  </si>
  <si>
    <t>Recibido</t>
  </si>
  <si>
    <t>Salidas</t>
  </si>
  <si>
    <t>Salida unitaria</t>
  </si>
  <si>
    <t>Producto</t>
  </si>
  <si>
    <t>unidades</t>
  </si>
  <si>
    <t>Congelado</t>
  </si>
  <si>
    <t>Valores</t>
  </si>
  <si>
    <t>Suma de bolsillo feliz</t>
  </si>
  <si>
    <t>Bolsillo feliz</t>
  </si>
  <si>
    <t>posta rosada 500g</t>
  </si>
  <si>
    <t>Suma de niños</t>
  </si>
  <si>
    <t>Caja kids</t>
  </si>
  <si>
    <t>camaron cocido kg</t>
  </si>
  <si>
    <t>Suma de mensual</t>
  </si>
  <si>
    <t>Caja mensual</t>
  </si>
  <si>
    <t>hamburguesa 100g</t>
  </si>
  <si>
    <t>Suma de semanal</t>
  </si>
  <si>
    <t>Caja semanal</t>
  </si>
  <si>
    <t>trutro de pollo</t>
  </si>
  <si>
    <t>Suma de Aceite Full Frito 10 Lt</t>
  </si>
  <si>
    <t>Promo aceite</t>
  </si>
  <si>
    <t>filete merluza 170-220g</t>
  </si>
  <si>
    <t>Suma de Atun Isadora 100 gr</t>
  </si>
  <si>
    <t>Promo atún</t>
  </si>
  <si>
    <t>corte filete salmon</t>
  </si>
  <si>
    <t>Suma de Choritos costa tenglo</t>
  </si>
  <si>
    <t>Promo choritos</t>
  </si>
  <si>
    <t>pechuga pollo 2kg</t>
  </si>
  <si>
    <t>Suma de Jibia corcovado</t>
  </si>
  <si>
    <t>Promo jibia</t>
  </si>
  <si>
    <t xml:space="preserve">nugget </t>
  </si>
  <si>
    <t>Suma de Surtidos de mariscos corcovado 190 gr</t>
  </si>
  <si>
    <t>Promo mariscos</t>
  </si>
  <si>
    <t>papa pre frita 500g</t>
  </si>
  <si>
    <t>Suma de Salmon al natural corcovado 160 gr</t>
  </si>
  <si>
    <t>Promo salmon</t>
  </si>
  <si>
    <t>papa duquesa 500g</t>
  </si>
  <si>
    <t>Suma de Arroz El Pais 1 Kg</t>
  </si>
  <si>
    <t>Promo arroz</t>
  </si>
  <si>
    <t xml:space="preserve">hamburguesa </t>
  </si>
  <si>
    <t>CALCULAR</t>
  </si>
  <si>
    <t>choclo kg</t>
  </si>
  <si>
    <t>Promo lentejas</t>
  </si>
  <si>
    <t>arvejas kg</t>
  </si>
  <si>
    <t>poroto verde kg</t>
  </si>
  <si>
    <t>ensalada kg</t>
  </si>
  <si>
    <t>mix poroto granado 500g</t>
  </si>
  <si>
    <t>Nº de venta</t>
  </si>
  <si>
    <t>semanal</t>
  </si>
  <si>
    <t>bolsillo feliz</t>
  </si>
  <si>
    <t>mensual</t>
  </si>
  <si>
    <t>niños</t>
  </si>
  <si>
    <t>Arroz El Pais 1 Kg</t>
  </si>
  <si>
    <t>Verduras Minuto Verde 1 Kg</t>
  </si>
  <si>
    <t>Azucar Flor De Reyes 1 Kg</t>
  </si>
  <si>
    <t>Atun Isadora 100 gr</t>
  </si>
  <si>
    <t>Aceite Full Frito 10 Lt</t>
  </si>
  <si>
    <t>Fideos gentil 400 gr</t>
  </si>
  <si>
    <t>Salmon al natural corcovado 160 gr</t>
  </si>
  <si>
    <t>Surtidos de mariscos corcovado 190 gr</t>
  </si>
  <si>
    <t>Poroto blanco de reyes 1kg</t>
  </si>
  <si>
    <t>Jurel san jose 160gr</t>
  </si>
  <si>
    <t>Jibia corcovado</t>
  </si>
  <si>
    <t>Choritos costa tenglo</t>
  </si>
  <si>
    <t>total productos</t>
  </si>
  <si>
    <t>total compra</t>
  </si>
  <si>
    <t>Metodo pago</t>
  </si>
  <si>
    <t>repartidor</t>
  </si>
  <si>
    <t>Precios</t>
  </si>
  <si>
    <t>lentejas y lomito atun</t>
  </si>
  <si>
    <t>congelados</t>
  </si>
  <si>
    <t>caja mensual promo sept 80k</t>
  </si>
  <si>
    <t xml:space="preserve">mal calculo en rebaja de promocion </t>
  </si>
  <si>
    <t>se sumaron 4 salmones, precio lineal</t>
  </si>
  <si>
    <t>1 paquete de fideos de regalo</t>
  </si>
  <si>
    <t>10 aceite hechizo 250ml</t>
  </si>
  <si>
    <t>falto 1 jibia se paga x1, la otra va al dia sigueinte</t>
  </si>
  <si>
    <t>se incluye promo verdura x 15k</t>
  </si>
  <si>
    <t>Efectivo</t>
  </si>
  <si>
    <t>Webpay</t>
  </si>
  <si>
    <t>Debito</t>
  </si>
  <si>
    <t>Transferencia</t>
  </si>
  <si>
    <t>promo mensual mes sept</t>
  </si>
  <si>
    <t>transferencia</t>
  </si>
  <si>
    <t>ACTUALIZADO ñau</t>
  </si>
  <si>
    <t>pago 1 promo, actualizar!</t>
  </si>
  <si>
    <t xml:space="preserve"> </t>
  </si>
  <si>
    <t>Feña</t>
  </si>
  <si>
    <t>-</t>
  </si>
  <si>
    <t>efe -20k por copec</t>
  </si>
  <si>
    <t>Andy</t>
  </si>
  <si>
    <t>Raul</t>
  </si>
  <si>
    <t>Mauricio</t>
  </si>
  <si>
    <t>Retiro</t>
  </si>
  <si>
    <t>Incluye recarga</t>
  </si>
  <si>
    <t>incluye recarga</t>
  </si>
  <si>
    <t>10 choritos de regalo a situacioncalle</t>
  </si>
  <si>
    <t>Regalo</t>
  </si>
  <si>
    <t>Aceite regalo Melipulli</t>
  </si>
  <si>
    <t>incluye 7 fideos y 8 salsas a 500 c/u</t>
  </si>
  <si>
    <t>Incluye 10000 de 93 copec</t>
  </si>
  <si>
    <t>Pagó 60, 1 promo de chorito extra x error y 0,5 mariscos menos</t>
  </si>
  <si>
    <t>5 latas de chorito de regalo y 1 primavera</t>
  </si>
  <si>
    <t xml:space="preserve">3 mini promos </t>
  </si>
  <si>
    <t>Minipromo2,3,4</t>
  </si>
  <si>
    <t>Incluye minipromo 2</t>
  </si>
  <si>
    <t>Incluye minipromo 2 y 6</t>
  </si>
  <si>
    <t>Incluye 2 minipromo 7</t>
  </si>
  <si>
    <t>Incluye 1 minipromo 7</t>
  </si>
  <si>
    <t>Incluye:
1 minipromo 1
2 minipromo 2
4 minipromo 3
1 minipromo 4
1 minipromo 5</t>
  </si>
  <si>
    <t>DATO CRUZADO CON CUADRATURA LOCAL</t>
  </si>
  <si>
    <t>Incluye: 4 minipromo 4 y 2 minipromo 3</t>
  </si>
  <si>
    <t>Feña puso 4mil pesos de vuelto de su bolsillo</t>
  </si>
  <si>
    <t>Caja personalizada</t>
  </si>
  <si>
    <t>Jorge</t>
  </si>
  <si>
    <t>Suma de Verduras Minuto Verde 1 Kg</t>
  </si>
  <si>
    <t>Suma de Azucar Flor De Reyes 1 Kg</t>
  </si>
  <si>
    <t>Suma de Fideos gentil 400 gr</t>
  </si>
  <si>
    <t>Suma de Poroto blanco de reyes 1kg</t>
  </si>
  <si>
    <t>Suma de Jurel san jose 160gr</t>
  </si>
  <si>
    <t xml:space="preserve">CAJA </t>
  </si>
  <si>
    <t>VALOR UNITARIO</t>
  </si>
  <si>
    <t>CANTIDAD VENDIDA</t>
  </si>
  <si>
    <t>TOTAL</t>
  </si>
  <si>
    <t>SEMANAL</t>
  </si>
  <si>
    <t>B.FELIZ</t>
  </si>
  <si>
    <t>MENSUAL</t>
  </si>
  <si>
    <t xml:space="preserve">NIÑOS </t>
  </si>
  <si>
    <t>ECONOMICA</t>
  </si>
  <si>
    <t>DESAYUNO</t>
  </si>
  <si>
    <t>P.ARROZ</t>
  </si>
  <si>
    <t>P.ATUN</t>
  </si>
  <si>
    <t>P.ACEITE</t>
  </si>
  <si>
    <t>P.AZUCAR FLOR</t>
  </si>
  <si>
    <t>P. JIBIA</t>
  </si>
  <si>
    <t>P. JUREL</t>
  </si>
  <si>
    <t>P. SURDEMAR</t>
  </si>
  <si>
    <t>P. SALMON</t>
  </si>
  <si>
    <t>P. TALLARINES</t>
  </si>
  <si>
    <t>P. POROTOS</t>
  </si>
  <si>
    <t>P.VERDURAS</t>
  </si>
  <si>
    <t>#</t>
  </si>
  <si>
    <t>PRODUCTO</t>
  </si>
  <si>
    <t>PRECIO</t>
  </si>
  <si>
    <t>CANTIDAD</t>
  </si>
  <si>
    <t>SUBTOTAL + IVA</t>
  </si>
  <si>
    <t>MANTEQUILLA RUMAY 200g</t>
  </si>
  <si>
    <t>Corbatitas Nicola 400g</t>
  </si>
  <si>
    <t>Spaghetti Nicola 400g</t>
  </si>
  <si>
    <t>Hamburguesa Vacuno 100g</t>
  </si>
  <si>
    <t>Arroz Grado II Bonanza 1kg</t>
  </si>
  <si>
    <t>Lentejas Coliseo 1kg</t>
  </si>
  <si>
    <t>arroz</t>
  </si>
  <si>
    <t>Papa Duquesa Minuto Verde 500g</t>
  </si>
  <si>
    <t xml:space="preserve">verduras </t>
  </si>
  <si>
    <t>Atun Lomos Natural San Jose 160g</t>
  </si>
  <si>
    <t>azucar Flor</t>
  </si>
  <si>
    <t>Jurel al Natural San Jose 160g</t>
  </si>
  <si>
    <t xml:space="preserve">atun Isadora </t>
  </si>
  <si>
    <t>Salsa de Tomate Makao 200g</t>
  </si>
  <si>
    <t xml:space="preserve">aceite </t>
  </si>
  <si>
    <t xml:space="preserve">fideos gentil </t>
  </si>
  <si>
    <t xml:space="preserve">salmon al natural corcovado </t>
  </si>
  <si>
    <t>surtidos de mariscos corcovado 190 gr</t>
  </si>
  <si>
    <t>BOLSILLO FELIZ</t>
  </si>
  <si>
    <t>poroto blanco de reyes 1kg</t>
  </si>
  <si>
    <t>jurel san jose 160gr</t>
  </si>
  <si>
    <t>Poroto blanco los reyes</t>
  </si>
  <si>
    <t>jibia corcovado</t>
  </si>
  <si>
    <t>Lentejas 1kg de reyes</t>
  </si>
  <si>
    <t>Arroz Grado II Bonanza 1 kg</t>
  </si>
  <si>
    <t>Sal Smart Price 1kg</t>
  </si>
  <si>
    <t>Jurel al Natural Corcovado 425g</t>
  </si>
  <si>
    <t>Harina Sin Polvo Smart Price 1kg</t>
  </si>
  <si>
    <t>Aceite Vegetal AlimentoChile 900ml</t>
  </si>
  <si>
    <t>Mayoneza 700 grs</t>
  </si>
  <si>
    <t>stevia en linea</t>
  </si>
  <si>
    <t>Atun Lomos al Natural San Jose 160g</t>
  </si>
  <si>
    <t>Stevia En Línea 180ml</t>
  </si>
  <si>
    <t>Queso Laminado 500g</t>
  </si>
  <si>
    <t>Mostaza Traverso 240g</t>
  </si>
  <si>
    <t>Hamburguesa Vacuno Karmac 100g</t>
  </si>
  <si>
    <t>Manjar Eckart 400g</t>
  </si>
  <si>
    <t>Pickles 200g</t>
  </si>
  <si>
    <t>Mayonesa Traverso 600g</t>
  </si>
  <si>
    <t>Mermelada Mora y Frutilla</t>
  </si>
  <si>
    <t>Lentejas De Reyes 1kg</t>
  </si>
  <si>
    <t>Poroto Blanco Los Reyes 1kg</t>
  </si>
  <si>
    <t>Caja 100 Bolsas de Té Rico y Conveniente San Martín</t>
  </si>
  <si>
    <t>Avena Instantanea Niccola 750g</t>
  </si>
  <si>
    <t>Papa Pre-Frita Minuto Verde 500g</t>
  </si>
  <si>
    <t>SUBTOTAL</t>
  </si>
  <si>
    <t>Avena Tradicional Niccola 750g</t>
  </si>
  <si>
    <t>Dulce de Membrillo Eckart 250g</t>
  </si>
  <si>
    <t>Manjar Tradicional Eckart 400g</t>
  </si>
  <si>
    <t>Mantequilla Rumay 200g</t>
  </si>
  <si>
    <t>Mermelada de Frutilla Tia Lia 250g</t>
  </si>
  <si>
    <t>Mermelada de Mora Tia Lia 250g</t>
  </si>
  <si>
    <t>TE GOLDEN CEYLON BLEND SAN MARTIN 100 BOLSITAS</t>
  </si>
  <si>
    <t>Queso Mantecoso Laminado Rafulco 500g</t>
  </si>
  <si>
    <t>NIÑOS</t>
  </si>
  <si>
    <t>Papa Pre-frita MINUTO VERDE 1KG</t>
  </si>
  <si>
    <t>Salsa de Tomate Italiana Makao 210g</t>
  </si>
  <si>
    <t>Nectar Sprim Durazno 190ml</t>
  </si>
  <si>
    <t>Nugget Pollo Crocante Sadia 300g</t>
  </si>
  <si>
    <t>ATUN SAN JOSE NATURAL 160g</t>
  </si>
  <si>
    <t>ECONÓMICA</t>
  </si>
  <si>
    <t>Arroz Bonanza 1 kg</t>
  </si>
  <si>
    <t>Lentejas de Rey 1 kg</t>
  </si>
  <si>
    <t>Poroto Blanco Los Reyes</t>
  </si>
  <si>
    <t>Sal Smart Price 1 kg</t>
  </si>
  <si>
    <t>PROMOCIONES DISPONIBLES | AGOSTO</t>
  </si>
  <si>
    <t>PRODUCTOS</t>
  </si>
  <si>
    <t>unitario</t>
  </si>
  <si>
    <t>unitario + 15%</t>
  </si>
  <si>
    <t>unitario + 20%</t>
  </si>
  <si>
    <t>Atun modificado a precio cotizacion 19-11</t>
  </si>
  <si>
    <t>Proteina marina</t>
  </si>
  <si>
    <t>salmon</t>
  </si>
  <si>
    <t>atun</t>
  </si>
  <si>
    <t>Chorito 190g</t>
  </si>
  <si>
    <t>Jurel corcovado 425</t>
  </si>
  <si>
    <t>Lista rodrigo</t>
  </si>
  <si>
    <t>cotizacion 19-11</t>
  </si>
  <si>
    <t>aceite 900 ml alimento chile</t>
  </si>
  <si>
    <t>chorito</t>
  </si>
  <si>
    <t>stock recibido</t>
  </si>
  <si>
    <t>salsa de tomate 210g</t>
  </si>
  <si>
    <t>jurel corcovado 425g</t>
  </si>
  <si>
    <t>Nota de credito por 17 940</t>
  </si>
  <si>
    <t>sep</t>
  </si>
  <si>
    <t>oct</t>
  </si>
  <si>
    <t>nov</t>
  </si>
  <si>
    <t>dic</t>
  </si>
  <si>
    <t>Suma de total compra</t>
  </si>
  <si>
    <t>VENTAS</t>
  </si>
  <si>
    <t>Pedro</t>
  </si>
  <si>
    <t>02-sep</t>
  </si>
  <si>
    <t>04-sep</t>
  </si>
  <si>
    <t>06-sep</t>
  </si>
  <si>
    <t>09-sep</t>
  </si>
  <si>
    <t>11-sep</t>
  </si>
  <si>
    <t>12-sep</t>
  </si>
  <si>
    <t>13-sep</t>
  </si>
  <si>
    <t>14-sep</t>
  </si>
  <si>
    <t>16-sep</t>
  </si>
  <si>
    <t>17-sep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</si>
  <si>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</si>
  <si>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</si>
  <si>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</si>
  <si>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</si>
  <si>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</si>
  <si>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</si>
  <si>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</si>
  <si>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</si>
  <si>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</si>
  <si>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</si>
  <si>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</si>
  <si>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05-oct</t>
  </si>
  <si>
    <t>06-oct</t>
  </si>
  <si>
    <t>07-oct</t>
  </si>
  <si>
    <t>08-oct</t>
  </si>
  <si>
    <t>09-oct</t>
  </si>
  <si>
    <t>10-oct</t>
  </si>
  <si>
    <t>12-oct</t>
  </si>
  <si>
    <t>14-oct</t>
  </si>
  <si>
    <t>15-oct</t>
  </si>
  <si>
    <t>16-oct</t>
  </si>
  <si>
    <t>23-oct</t>
  </si>
  <si>
    <t>28-oct</t>
  </si>
  <si>
    <t>29-oct</t>
  </si>
  <si>
    <t>30-oct</t>
  </si>
  <si>
    <t>31-oct</t>
  </si>
  <si>
    <t>03-nov</t>
  </si>
  <si>
    <t>04-nov</t>
  </si>
  <si>
    <t>05-nov</t>
  </si>
  <si>
    <t>07-nov</t>
  </si>
  <si>
    <t>08-nov</t>
  </si>
  <si>
    <t>11-nov</t>
  </si>
  <si>
    <t>12-nov</t>
  </si>
  <si>
    <t>13-nov</t>
  </si>
  <si>
    <t>14-nov</t>
  </si>
  <si>
    <t>15-nov</t>
  </si>
  <si>
    <t>17-nov</t>
  </si>
  <si>
    <t>19-nov</t>
  </si>
  <si>
    <t>20-nov</t>
  </si>
  <si>
    <t>22-nov</t>
  </si>
  <si>
    <t>25-nov</t>
  </si>
  <si>
    <t>27-nov</t>
  </si>
  <si>
    <t>01-dic</t>
  </si>
  <si>
    <t>02-dic</t>
  </si>
  <si>
    <t>04-dic</t>
  </si>
  <si>
    <t>12-dic</t>
  </si>
  <si>
    <t>16-dic</t>
  </si>
  <si>
    <t>17-dic</t>
  </si>
  <si>
    <t>19-dic</t>
  </si>
  <si>
    <t>sept</t>
  </si>
  <si>
    <t>Incluye 3 minipromo 2</t>
  </si>
  <si>
    <t>Arturo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</si>
</sst>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2" formatCode="_ &quot;$&quot;* #,##0_ ;_ &quot;$&quot;* \-#,##0_ ;_ &quot;$&quot;* &quot;-&quot;_ ;_ @_ "/>
    <numFmt numFmtId="41" formatCode="_ * #,##0_ ;_ * \-#,##0_ ;_ * &quot;-&quot;_ ;_ @_ "/>
    <numFmt numFmtId="164" formatCode="_-* #,##0.00_-;\-* #,##0.00_-;_-* &quot;-&quot;??_-;_-@_-"/>
    <numFmt numFmtId="165" formatCode="dd/mm/yy"/>
    <numFmt numFmtId="166" formatCode="&quot;$&quot;#,##0"/>
    <numFmt numFmtId="167" formatCode="_-* #,##0_-;\-* #,##0_-;_-* &quot;-&quot;??_-;_-@_-"/>
  </numFmts>
  <fonts count="8" x14ac:knownFonts="1">
    <font>
      <sz val="12"/>
      <color theme="1"/>
      <name val="Calibri"/>
      <scheme val="minor"/>
    </font>
    <font>
      <sz val="12"/>
      <color theme="1"/>
      <name val="Calibri"/>
    </font>
    <font>
      <sz val="12"/>
      <color rgb="FF222222"/>
      <name val="Arial"/>
    </font>
    <font>
      <sz val="12"/>
      <color theme="1"/>
      <name val="Arial"/>
    </font>
    <font>
      <sz val="12"/>
      <color theme="1"/>
      <name val="Calibri"/>
      <scheme val="minor"/>
    </font>
    <font>
      <b/>
      <sz val="15"/>
      <color rgb="FFFFFFFF"/>
      <name val="Montserrat"/>
    </font>
    <font>
      <sz val="12"/>
      <name val="Calibri"/>
    </font>
    <font>
      <b/>
      <sz val="12"/>
      <color theme="1"/>
      <name val="Arial"/>
    </font>
  </fonts>
  <fills count="12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FFFF"/>
        <bgColor rgb="FFFFFFFF"/>
      </patternFill>
    </fill>
    <fill>
      <patternFill patternType="solid">
        <fgColor rgb="FFB4C6E7"/>
        <bgColor rgb="FFB4C6E7"/>
      </patternFill>
    </fill>
    <fill>
      <patternFill patternType="solid">
        <fgColor rgb="FFD9E2F3"/>
        <bgColor rgb="FFD9E2F3"/>
      </patternFill>
    </fill>
    <fill>
      <patternFill patternType="solid">
        <fgColor rgb="FFFF0000"/>
        <bgColor rgb="FFFF0000"/>
      </patternFill>
    </fill>
    <fill>
      <patternFill patternType="solid">
        <fgColor rgb="FFFFFF00"/>
        <bgColor rgb="FFFFFF00"/>
      </patternFill>
    </fill>
    <fill>
      <patternFill patternType="solid">
        <fgColor theme="0"/>
        <bgColor theme="0"/>
      </patternFill>
    </fill>
    <fill>
      <patternFill patternType="solid">
        <fgColor rgb="FFFF9900"/>
        <bgColor rgb="FFFF9900"/>
      </patternFill>
    </fill>
    <fill>
      <patternFill patternType="solid">
        <fgColor rgb="FF92D050"/>
        <bgColor rgb="FF92D050"/>
      </patternFill>
    </fill>
    <fill>
      <patternFill patternType="solid">
        <fgColor rgb="FF38761D"/>
        <bgColor rgb="FF38761D"/>
      </patternFill>
    </fill>
  </fills>
  <borders count="39">
    <border>
      <left/>
      <right/>
      <top/>
      <bottom/>
      <diagonal/>
    </border>
    <border>
      <left/>
      <right/>
      <top/>
      <bottom/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rgb="FFFFFFFF"/>
      </top>
      <bottom/>
      <diagonal/>
    </border>
    <border>
      <left style="thin">
        <color rgb="FFABABAB"/>
      </left>
      <right style="thin">
        <color rgb="FFABABAB"/>
      </right>
      <top style="thin">
        <color rgb="FFFFFFFF"/>
      </top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thin">
        <color rgb="FFABABAB"/>
      </left>
      <right/>
      <top style="thin">
        <color rgb="FFFFFFFF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rgb="FFFFFFFF"/>
      </top>
      <bottom style="thin">
        <color rgb="FFABABAB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666666"/>
      </left>
      <right style="thin">
        <color rgb="FF666666"/>
      </right>
      <top style="thin">
        <color rgb="FF666666"/>
      </top>
      <bottom style="thin">
        <color rgb="FF666666"/>
      </bottom>
      <diagonal/>
    </border>
    <border>
      <left style="thin">
        <color rgb="FF666666"/>
      </left>
      <right style="thin">
        <color rgb="FF666666"/>
      </right>
      <top style="thin">
        <color rgb="FF666666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284E3F"/>
      </left>
      <right style="thin">
        <color rgb="FF356854"/>
      </right>
      <top style="thin">
        <color rgb="FF284E3F"/>
      </top>
      <bottom style="thin">
        <color rgb="FF284E3F"/>
      </bottom>
      <diagonal/>
    </border>
    <border>
      <left style="thin">
        <color rgb="FF356854"/>
      </left>
      <right style="thin">
        <color rgb="FF356854"/>
      </right>
      <top style="thin">
        <color rgb="FF284E3F"/>
      </top>
      <bottom style="thin">
        <color rgb="FF284E3F"/>
      </bottom>
      <diagonal/>
    </border>
    <border>
      <left style="thin">
        <color rgb="FF356854"/>
      </left>
      <right style="thin">
        <color rgb="FF284E3F"/>
      </right>
      <top style="thin">
        <color rgb="FF284E3F"/>
      </top>
      <bottom style="thin">
        <color rgb="FF284E3F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666666"/>
      </right>
      <top style="thin">
        <color rgb="FF666666"/>
      </top>
      <bottom style="thin">
        <color rgb="FF666666"/>
      </bottom>
      <diagonal/>
    </border>
    <border>
      <left/>
      <right style="thin">
        <color rgb="FF434343"/>
      </right>
      <top style="thin">
        <color rgb="FF434343"/>
      </top>
      <bottom/>
      <diagonal/>
    </border>
    <border>
      <left style="thin">
        <color rgb="FF434343"/>
      </left>
      <right style="thin">
        <color rgb="FF434343"/>
      </right>
      <top style="thin">
        <color rgb="FF434343"/>
      </top>
      <bottom/>
      <diagonal/>
    </border>
    <border>
      <left/>
      <right style="thin">
        <color rgb="FF666666"/>
      </right>
      <top style="thin">
        <color rgb="FF666666"/>
      </top>
      <bottom/>
      <diagonal/>
    </border>
    <border>
      <left style="medium">
        <color rgb="FF000000"/>
      </left>
      <right style="thin">
        <color rgb="FF666666"/>
      </right>
      <top style="medium">
        <color rgb="FF000000"/>
      </top>
      <bottom style="medium">
        <color rgb="FF000000"/>
      </bottom>
      <diagonal/>
    </border>
    <border>
      <left style="thin">
        <color rgb="FF666666"/>
      </left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434343"/>
      </left>
      <right style="thin">
        <color rgb="FF434343"/>
      </right>
      <top style="thin">
        <color rgb="FF434343"/>
      </top>
      <bottom style="thin">
        <color rgb="FF434343"/>
      </bottom>
      <diagonal/>
    </border>
    <border>
      <left style="thin">
        <color rgb="FF666666"/>
      </left>
      <right style="thin">
        <color rgb="FF666666"/>
      </right>
      <top style="medium">
        <color rgb="FF000000"/>
      </top>
      <bottom style="medium">
        <color rgb="FF000000"/>
      </bottom>
      <diagonal/>
    </border>
    <border>
      <left style="thin">
        <color rgb="FF666666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666666"/>
      </right>
      <top/>
      <bottom/>
      <diagonal/>
    </border>
    <border>
      <left/>
      <right style="thin">
        <color rgb="FFABABAB"/>
      </right>
      <top style="thin">
        <color rgb="FFABABAB"/>
      </top>
      <bottom/>
      <diagonal/>
    </border>
    <border>
      <left/>
      <right style="thin">
        <color rgb="FFABABAB"/>
      </right>
      <top style="thin">
        <color rgb="FFABABAB"/>
      </top>
      <bottom style="thin">
        <color rgb="FFABABAB"/>
      </bottom>
      <diagonal/>
    </border>
    <border>
      <left/>
      <right/>
      <top style="thin">
        <color rgb="FFABABAB"/>
      </top>
      <bottom/>
      <diagonal/>
    </border>
    <border>
      <left/>
      <right/>
      <top style="thin">
        <color rgb="FFABABAB"/>
      </top>
      <bottom style="thin">
        <color rgb="FFABABAB"/>
      </bottom>
      <diagonal/>
    </border>
  </borders>
  <cellStyleXfs count="3">
    <xf numFmtId="0" fontId="0" fillId="0" borderId="0"/>
    <xf numFmtId="164" fontId="4" fillId="0" borderId="0" applyFont="0" applyFill="0" applyBorder="0" applyAlignment="0" applyProtection="0"/>
    <xf numFmtId="41" fontId="4" fillId="0" borderId="0" applyFont="0" applyFill="0" applyBorder="0" applyAlignment="0" applyProtection="0"/>
  </cellStyleXfs>
  <cellXfs count="125">
    <xf numFmtId="0" fontId="0" fillId="0" borderId="0" xfId="0"/>
    <xf numFmtId="0" fontId="1" fillId="0" borderId="0" xfId="0" applyFont="1" applyAlignment="1">
      <alignment horizontal="left" vertical="center"/>
    </xf>
    <xf numFmtId="41" fontId="1" fillId="0" borderId="0" xfId="0" applyNumberFormat="1" applyFont="1" applyAlignment="1">
      <alignment horizontal="left" vertical="center"/>
    </xf>
    <xf numFmtId="1" fontId="1" fillId="0" borderId="0" xfId="0" applyNumberFormat="1" applyFont="1" applyAlignment="1">
      <alignment horizontal="left" vertical="center"/>
    </xf>
    <xf numFmtId="0" fontId="1" fillId="0" borderId="0" xfId="0" applyFont="1"/>
    <xf numFmtId="0" fontId="1" fillId="2" borderId="1" xfId="0" applyFont="1" applyFill="1" applyBorder="1"/>
    <xf numFmtId="1" fontId="1" fillId="2" borderId="1" xfId="0" applyNumberFormat="1" applyFont="1" applyFill="1" applyBorder="1"/>
    <xf numFmtId="0" fontId="1" fillId="0" borderId="0" xfId="0" applyFont="1" applyAlignment="1">
      <alignment vertical="center"/>
    </xf>
    <xf numFmtId="14" fontId="1" fillId="0" borderId="0" xfId="0" applyNumberFormat="1" applyFont="1" applyAlignment="1">
      <alignment vertical="center"/>
    </xf>
    <xf numFmtId="41" fontId="1" fillId="0" borderId="0" xfId="0" applyNumberFormat="1" applyFont="1" applyAlignment="1">
      <alignment vertical="center"/>
    </xf>
    <xf numFmtId="1" fontId="1" fillId="0" borderId="0" xfId="0" applyNumberFormat="1" applyFont="1" applyAlignment="1">
      <alignment vertical="center"/>
    </xf>
    <xf numFmtId="41" fontId="1" fillId="0" borderId="0" xfId="0" applyNumberFormat="1" applyFont="1"/>
    <xf numFmtId="14" fontId="1" fillId="0" borderId="0" xfId="0" applyNumberFormat="1" applyFont="1"/>
    <xf numFmtId="1" fontId="1" fillId="0" borderId="0" xfId="0" applyNumberFormat="1" applyFont="1"/>
    <xf numFmtId="0" fontId="1" fillId="3" borderId="1" xfId="0" applyFont="1" applyFill="1" applyBorder="1"/>
    <xf numFmtId="41" fontId="1" fillId="3" borderId="1" xfId="0" applyNumberFormat="1" applyFont="1" applyFill="1" applyBorder="1"/>
    <xf numFmtId="41" fontId="1" fillId="4" borderId="1" xfId="0" applyNumberFormat="1" applyFont="1" applyFill="1" applyBorder="1"/>
    <xf numFmtId="41" fontId="1" fillId="5" borderId="1" xfId="0" applyNumberFormat="1" applyFont="1" applyFill="1" applyBorder="1"/>
    <xf numFmtId="0" fontId="2" fillId="0" borderId="0" xfId="0" applyFont="1"/>
    <xf numFmtId="3" fontId="2" fillId="0" borderId="0" xfId="0" applyNumberFormat="1" applyFont="1"/>
    <xf numFmtId="3" fontId="1" fillId="0" borderId="0" xfId="0" applyNumberFormat="1" applyFont="1"/>
    <xf numFmtId="0" fontId="1" fillId="0" borderId="2" xfId="0" applyFont="1" applyBorder="1"/>
    <xf numFmtId="0" fontId="1" fillId="0" borderId="3" xfId="0" applyFont="1" applyBorder="1"/>
    <xf numFmtId="0" fontId="1" fillId="0" borderId="2" xfId="0" applyFont="1" applyBorder="1" applyAlignment="1">
      <alignment horizontal="left"/>
    </xf>
    <xf numFmtId="0" fontId="1" fillId="0" borderId="4" xfId="0" applyFont="1" applyBorder="1" applyAlignment="1">
      <alignment horizontal="left"/>
    </xf>
    <xf numFmtId="0" fontId="1" fillId="0" borderId="5" xfId="0" applyFont="1" applyBorder="1"/>
    <xf numFmtId="0" fontId="1" fillId="6" borderId="1" xfId="0" applyFont="1" applyFill="1" applyBorder="1" applyAlignment="1">
      <alignment vertical="center"/>
    </xf>
    <xf numFmtId="0" fontId="1" fillId="0" borderId="0" xfId="0" applyFont="1" applyAlignment="1">
      <alignment horizontal="left"/>
    </xf>
    <xf numFmtId="0" fontId="1" fillId="0" borderId="6" xfId="0" applyFont="1" applyBorder="1" applyAlignment="1">
      <alignment horizontal="left"/>
    </xf>
    <xf numFmtId="0" fontId="1" fillId="0" borderId="7" xfId="0" applyFont="1" applyBorder="1"/>
    <xf numFmtId="0" fontId="1" fillId="7" borderId="1" xfId="0" applyFont="1" applyFill="1" applyBorder="1"/>
    <xf numFmtId="0" fontId="1" fillId="0" borderId="8" xfId="0" applyFont="1" applyBorder="1" applyAlignment="1">
      <alignment horizontal="left"/>
    </xf>
    <xf numFmtId="0" fontId="1" fillId="0" borderId="9" xfId="0" applyFont="1" applyBorder="1"/>
    <xf numFmtId="0" fontId="1" fillId="2" borderId="10" xfId="0" applyFont="1" applyFill="1" applyBorder="1"/>
    <xf numFmtId="0" fontId="1" fillId="0" borderId="11" xfId="0" applyFont="1" applyBorder="1"/>
    <xf numFmtId="1" fontId="1" fillId="2" borderId="12" xfId="0" applyNumberFormat="1" applyFont="1" applyFill="1" applyBorder="1"/>
    <xf numFmtId="1" fontId="1" fillId="2" borderId="10" xfId="0" applyNumberFormat="1" applyFont="1" applyFill="1" applyBorder="1"/>
    <xf numFmtId="14" fontId="1" fillId="0" borderId="10" xfId="0" applyNumberFormat="1" applyFont="1" applyBorder="1"/>
    <xf numFmtId="0" fontId="1" fillId="0" borderId="10" xfId="0" applyFont="1" applyBorder="1"/>
    <xf numFmtId="0" fontId="1" fillId="8" borderId="10" xfId="0" applyFont="1" applyFill="1" applyBorder="1"/>
    <xf numFmtId="42" fontId="1" fillId="0" borderId="10" xfId="0" applyNumberFormat="1" applyFont="1" applyBorder="1"/>
    <xf numFmtId="0" fontId="1" fillId="8" borderId="1" xfId="0" applyFont="1" applyFill="1" applyBorder="1"/>
    <xf numFmtId="41" fontId="1" fillId="0" borderId="10" xfId="0" applyNumberFormat="1" applyFont="1" applyBorder="1"/>
    <xf numFmtId="0" fontId="3" fillId="0" borderId="13" xfId="0" applyFont="1" applyBorder="1"/>
    <xf numFmtId="0" fontId="3" fillId="0" borderId="14" xfId="0" applyFont="1" applyBorder="1"/>
    <xf numFmtId="0" fontId="3" fillId="0" borderId="10" xfId="0" applyFont="1" applyBorder="1"/>
    <xf numFmtId="165" fontId="1" fillId="0" borderId="10" xfId="0" applyNumberFormat="1" applyFont="1" applyBorder="1"/>
    <xf numFmtId="14" fontId="1" fillId="7" borderId="10" xfId="0" applyNumberFormat="1" applyFont="1" applyFill="1" applyBorder="1"/>
    <xf numFmtId="0" fontId="4" fillId="0" borderId="0" xfId="0" applyFont="1"/>
    <xf numFmtId="0" fontId="1" fillId="0" borderId="0" xfId="0" applyFont="1" applyAlignment="1">
      <alignment wrapText="1"/>
    </xf>
    <xf numFmtId="14" fontId="1" fillId="0" borderId="15" xfId="0" applyNumberFormat="1" applyFont="1" applyBorder="1"/>
    <xf numFmtId="0" fontId="1" fillId="0" borderId="15" xfId="0" applyFont="1" applyBorder="1"/>
    <xf numFmtId="41" fontId="1" fillId="0" borderId="15" xfId="0" applyNumberFormat="1" applyFont="1" applyBorder="1"/>
    <xf numFmtId="0" fontId="1" fillId="0" borderId="16" xfId="0" applyFont="1" applyBorder="1" applyAlignment="1">
      <alignment horizontal="left" vertical="center"/>
    </xf>
    <xf numFmtId="0" fontId="1" fillId="0" borderId="17" xfId="0" applyFont="1" applyBorder="1" applyAlignment="1">
      <alignment horizontal="left" vertical="center"/>
    </xf>
    <xf numFmtId="0" fontId="1" fillId="0" borderId="18" xfId="0" applyFont="1" applyBorder="1" applyAlignment="1">
      <alignment horizontal="left" vertical="center"/>
    </xf>
    <xf numFmtId="0" fontId="1" fillId="0" borderId="10" xfId="0" applyFont="1" applyBorder="1" applyAlignment="1">
      <alignment vertical="center"/>
    </xf>
    <xf numFmtId="166" fontId="1" fillId="0" borderId="10" xfId="0" applyNumberFormat="1" applyFont="1" applyBorder="1" applyAlignment="1">
      <alignment vertical="center"/>
    </xf>
    <xf numFmtId="0" fontId="3" fillId="0" borderId="0" xfId="0" applyFont="1"/>
    <xf numFmtId="0" fontId="7" fillId="0" borderId="10" xfId="0" applyFont="1" applyBorder="1" applyAlignment="1">
      <alignment horizontal="center"/>
    </xf>
    <xf numFmtId="166" fontId="7" fillId="10" borderId="22" xfId="0" applyNumberFormat="1" applyFont="1" applyFill="1" applyBorder="1" applyAlignment="1">
      <alignment horizontal="right"/>
    </xf>
    <xf numFmtId="0" fontId="3" fillId="0" borderId="10" xfId="0" applyFont="1" applyBorder="1" applyAlignment="1">
      <alignment horizontal="center"/>
    </xf>
    <xf numFmtId="166" fontId="3" fillId="0" borderId="10" xfId="0" applyNumberFormat="1" applyFont="1" applyBorder="1" applyAlignment="1">
      <alignment horizontal="right"/>
    </xf>
    <xf numFmtId="0" fontId="3" fillId="0" borderId="15" xfId="0" applyFont="1" applyBorder="1"/>
    <xf numFmtId="166" fontId="3" fillId="0" borderId="15" xfId="0" applyNumberFormat="1" applyFont="1" applyBorder="1" applyAlignment="1">
      <alignment horizontal="right"/>
    </xf>
    <xf numFmtId="0" fontId="3" fillId="0" borderId="15" xfId="0" applyFont="1" applyBorder="1" applyAlignment="1">
      <alignment horizontal="center"/>
    </xf>
    <xf numFmtId="0" fontId="7" fillId="0" borderId="22" xfId="0" applyFont="1" applyBorder="1"/>
    <xf numFmtId="0" fontId="3" fillId="0" borderId="22" xfId="0" applyFont="1" applyBorder="1"/>
    <xf numFmtId="0" fontId="7" fillId="0" borderId="22" xfId="0" applyFont="1" applyBorder="1" applyAlignment="1">
      <alignment horizontal="center"/>
    </xf>
    <xf numFmtId="166" fontId="7" fillId="0" borderId="22" xfId="0" applyNumberFormat="1" applyFont="1" applyBorder="1" applyAlignment="1">
      <alignment horizontal="right"/>
    </xf>
    <xf numFmtId="166" fontId="3" fillId="0" borderId="0" xfId="0" applyNumberFormat="1" applyFont="1"/>
    <xf numFmtId="0" fontId="7" fillId="0" borderId="23" xfId="0" applyFont="1" applyBorder="1" applyAlignment="1">
      <alignment horizontal="center"/>
    </xf>
    <xf numFmtId="0" fontId="7" fillId="0" borderId="13" xfId="0" applyFont="1" applyBorder="1" applyAlignment="1">
      <alignment horizontal="center"/>
    </xf>
    <xf numFmtId="0" fontId="3" fillId="0" borderId="23" xfId="0" applyFont="1" applyBorder="1"/>
    <xf numFmtId="166" fontId="3" fillId="0" borderId="13" xfId="0" applyNumberFormat="1" applyFont="1" applyBorder="1" applyAlignment="1">
      <alignment horizontal="right"/>
    </xf>
    <xf numFmtId="3" fontId="3" fillId="0" borderId="13" xfId="0" applyNumberFormat="1" applyFont="1" applyBorder="1" applyAlignment="1">
      <alignment horizontal="center"/>
    </xf>
    <xf numFmtId="0" fontId="3" fillId="0" borderId="24" xfId="0" applyFont="1" applyBorder="1"/>
    <xf numFmtId="166" fontId="3" fillId="0" borderId="25" xfId="0" applyNumberFormat="1" applyFont="1" applyBorder="1" applyAlignment="1">
      <alignment horizontal="right"/>
    </xf>
    <xf numFmtId="0" fontId="3" fillId="0" borderId="26" xfId="0" applyFont="1" applyBorder="1"/>
    <xf numFmtId="166" fontId="3" fillId="0" borderId="14" xfId="0" applyNumberFormat="1" applyFont="1" applyBorder="1" applyAlignment="1">
      <alignment horizontal="right"/>
    </xf>
    <xf numFmtId="3" fontId="3" fillId="0" borderId="14" xfId="0" applyNumberFormat="1" applyFont="1" applyBorder="1" applyAlignment="1">
      <alignment horizontal="center"/>
    </xf>
    <xf numFmtId="0" fontId="7" fillId="0" borderId="27" xfId="0" applyFont="1" applyBorder="1"/>
    <xf numFmtId="0" fontId="3" fillId="0" borderId="28" xfId="0" applyFont="1" applyBorder="1"/>
    <xf numFmtId="3" fontId="7" fillId="0" borderId="29" xfId="0" applyNumberFormat="1" applyFont="1" applyBorder="1" applyAlignment="1">
      <alignment horizontal="center"/>
    </xf>
    <xf numFmtId="166" fontId="7" fillId="0" borderId="30" xfId="0" applyNumberFormat="1" applyFont="1" applyBorder="1" applyAlignment="1">
      <alignment horizontal="right"/>
    </xf>
    <xf numFmtId="0" fontId="3" fillId="0" borderId="13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31" xfId="0" applyFont="1" applyBorder="1"/>
    <xf numFmtId="166" fontId="3" fillId="0" borderId="31" xfId="0" applyNumberFormat="1" applyFont="1" applyBorder="1" applyAlignment="1">
      <alignment horizontal="right"/>
    </xf>
    <xf numFmtId="0" fontId="3" fillId="0" borderId="31" xfId="0" applyFont="1" applyBorder="1" applyAlignment="1">
      <alignment horizontal="center"/>
    </xf>
    <xf numFmtId="0" fontId="3" fillId="0" borderId="25" xfId="0" applyFont="1" applyBorder="1"/>
    <xf numFmtId="0" fontId="3" fillId="0" borderId="25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32" xfId="0" applyFont="1" applyBorder="1"/>
    <xf numFmtId="0" fontId="7" fillId="0" borderId="32" xfId="0" applyFont="1" applyBorder="1" applyAlignment="1">
      <alignment horizontal="center"/>
    </xf>
    <xf numFmtId="166" fontId="7" fillId="0" borderId="33" xfId="0" applyNumberFormat="1" applyFont="1" applyBorder="1" applyAlignment="1">
      <alignment horizontal="right"/>
    </xf>
    <xf numFmtId="166" fontId="1" fillId="0" borderId="0" xfId="0" applyNumberFormat="1" applyFont="1"/>
    <xf numFmtId="9" fontId="1" fillId="0" borderId="0" xfId="0" applyNumberFormat="1" applyFont="1"/>
    <xf numFmtId="0" fontId="7" fillId="0" borderId="3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166" fontId="1" fillId="0" borderId="10" xfId="0" applyNumberFormat="1" applyFont="1" applyBorder="1"/>
    <xf numFmtId="0" fontId="1" fillId="6" borderId="1" xfId="0" applyFont="1" applyFill="1" applyBorder="1"/>
    <xf numFmtId="0" fontId="3" fillId="0" borderId="11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166" fontId="1" fillId="0" borderId="11" xfId="0" applyNumberFormat="1" applyFont="1" applyBorder="1"/>
    <xf numFmtId="0" fontId="0" fillId="0" borderId="2" xfId="0" pivotButton="1" applyBorder="1"/>
    <xf numFmtId="0" fontId="0" fillId="0" borderId="2" xfId="0" applyBorder="1" applyAlignment="1">
      <alignment horizontal="left"/>
    </xf>
    <xf numFmtId="0" fontId="0" fillId="0" borderId="6" xfId="0" applyBorder="1" applyAlignment="1">
      <alignment horizontal="left"/>
    </xf>
    <xf numFmtId="167" fontId="0" fillId="0" borderId="0" xfId="1" applyNumberFormat="1" applyFont="1"/>
    <xf numFmtId="167" fontId="0" fillId="0" borderId="7" xfId="0" applyNumberFormat="1" applyBorder="1"/>
    <xf numFmtId="167" fontId="0" fillId="0" borderId="3" xfId="0" applyNumberFormat="1" applyBorder="1"/>
    <xf numFmtId="0" fontId="0" fillId="0" borderId="2" xfId="0" applyBorder="1"/>
    <xf numFmtId="0" fontId="0" fillId="0" borderId="35" xfId="0" applyBorder="1"/>
    <xf numFmtId="0" fontId="0" fillId="0" borderId="6" xfId="0" applyBorder="1"/>
    <xf numFmtId="0" fontId="0" fillId="0" borderId="36" xfId="0" applyBorder="1"/>
    <xf numFmtId="0" fontId="0" fillId="0" borderId="37" xfId="0" applyBorder="1"/>
    <xf numFmtId="0" fontId="0" fillId="0" borderId="38" xfId="0" applyBorder="1"/>
    <xf numFmtId="0" fontId="0" fillId="0" borderId="2" xfId="0" applyBorder="1" applyAlignment="1">
      <alignment horizontal="left" indent="1"/>
    </xf>
    <xf numFmtId="41" fontId="0" fillId="0" borderId="0" xfId="2" applyFont="1"/>
    <xf numFmtId="41" fontId="0" fillId="0" borderId="3" xfId="2" applyFont="1" applyBorder="1"/>
    <xf numFmtId="41" fontId="0" fillId="0" borderId="7" xfId="2" applyFont="1" applyBorder="1"/>
    <xf numFmtId="0" fontId="5" fillId="9" borderId="19" xfId="0" applyFont="1" applyFill="1" applyBorder="1" applyAlignment="1">
      <alignment horizontal="center"/>
    </xf>
    <xf numFmtId="0" fontId="6" fillId="0" borderId="20" xfId="0" applyFont="1" applyBorder="1"/>
    <xf numFmtId="0" fontId="6" fillId="0" borderId="21" xfId="0" applyFont="1" applyBorder="1"/>
    <xf numFmtId="0" fontId="5" fillId="11" borderId="19" xfId="0" applyFont="1" applyFill="1" applyBorder="1" applyAlignment="1">
      <alignment horizontal="center"/>
    </xf>
  </cellXfs>
  <cellStyles count="3">
    <cellStyle name="Millares" xfId="1" builtinId="3"/>
    <cellStyle name="Millares [0]" xfId="2" builtinId="6"/>
    <cellStyle name="Normal" xfId="0" builtinId="0"/>
  </cellStyles>
  <dxfs count="18">
    <dxf>
      <numFmt numFmtId="167" formatCode="_-* #,##0_-;\-* #,##0_-;_-* &quot;-&quot;??_-;_-@_-"/>
    </dxf>
    <dxf>
      <numFmt numFmtId="167" formatCode="_-* #,##0_-;\-* #,##0_-;_-* &quot;-&quot;??_-;_-@_-"/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</dxfs>
  <tableStyles count="4">
    <tableStyle name="FACTURAS -style" pivot="0" count="3" xr9:uid="{00000000-0011-0000-FFFF-FFFF00000000}">
      <tableStyleElement type="headerRow" dxfId="17"/>
      <tableStyleElement type="firstRowStripe" dxfId="16"/>
      <tableStyleElement type="secondRowStripe" dxfId="15"/>
    </tableStyle>
    <tableStyle name="FACTURAS -style 2" pivot="0" count="3" xr9:uid="{00000000-0011-0000-FFFF-FFFF01000000}">
      <tableStyleElement type="headerRow" dxfId="14"/>
      <tableStyleElement type="firstRowStripe" dxfId="13"/>
      <tableStyleElement type="secondRowStripe" dxfId="12"/>
    </tableStyle>
    <tableStyle name="FLUJO-style" pivot="0" count="3" xr9:uid="{00000000-0011-0000-FFFF-FFFF02000000}">
      <tableStyleElement type="headerRow" dxfId="11"/>
      <tableStyleElement type="firstRowStripe" dxfId="10"/>
      <tableStyleElement type="secondRowStripe" dxfId="9"/>
    </tableStyle>
    <tableStyle name="CONTABILIDAD -style" pivot="0" count="3" xr9:uid="{00000000-0011-0000-FFFF-FFFF03000000}">
      <tableStyleElement type="headerRow" dxfId="8"/>
      <tableStyleElement type="firstRowStripe" dxfId="7"/>
      <tableStyleElement type="secondRowStripe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customschemas.google.com/relationships/workbookmetadata" Target="metadata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/>
      <c:pieChart>
        <c:varyColors val="1"/>
        <c:ser>
          <c:idx val="0"/>
          <c:order val="0"/>
          <c:tx>
            <c:strRef>
              <c:f>Stats!$B$1</c:f>
              <c:strCache>
                <c:ptCount val="1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01-0C7D-4E05-AD5D-6BDC76C2060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3-0C7D-4E05-AD5D-6BDC76C2060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</c:spPr>
            <c:extLst>
              <c:ext xmlns:c16="http://schemas.microsoft.com/office/drawing/2014/chart" uri="{C3380CC4-5D6E-409C-BE32-E72D297353CC}">
                <c16:uniqueId val="{00000005-0C7D-4E05-AD5D-6BDC76C2060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</c:spPr>
            <c:extLst>
              <c:ext xmlns:c16="http://schemas.microsoft.com/office/drawing/2014/chart" uri="{C3380CC4-5D6E-409C-BE32-E72D297353CC}">
                <c16:uniqueId val="{00000007-0C7D-4E05-AD5D-6BDC76C2060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</c:spPr>
            <c:extLst>
              <c:ext xmlns:c16="http://schemas.microsoft.com/office/drawing/2014/chart" uri="{C3380CC4-5D6E-409C-BE32-E72D297353CC}">
                <c16:uniqueId val="{00000009-0C7D-4E05-AD5D-6BDC76C20603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</c:spPr>
            <c:extLst>
              <c:ext xmlns:c16="http://schemas.microsoft.com/office/drawing/2014/chart" uri="{C3380CC4-5D6E-409C-BE32-E72D297353CC}">
                <c16:uniqueId val="{0000000B-0C7D-4E05-AD5D-6BDC76C20603}"/>
              </c:ext>
            </c:extLst>
          </c:dPt>
          <c:dPt>
            <c:idx val="6"/>
            <c:bubble3D val="0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0D-0C7D-4E05-AD5D-6BDC76C20603}"/>
              </c:ext>
            </c:extLst>
          </c:dPt>
          <c:dPt>
            <c:idx val="7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F-0C7D-4E05-AD5D-6BDC76C20603}"/>
              </c:ext>
            </c:extLst>
          </c:dPt>
          <c:dPt>
            <c:idx val="8"/>
            <c:bubble3D val="0"/>
            <c:spPr>
              <a:solidFill>
                <a:schemeClr val="accent3"/>
              </a:solidFill>
            </c:spPr>
            <c:extLst>
              <c:ext xmlns:c16="http://schemas.microsoft.com/office/drawing/2014/chart" uri="{C3380CC4-5D6E-409C-BE32-E72D297353CC}">
                <c16:uniqueId val="{00000011-0C7D-4E05-AD5D-6BDC76C20603}"/>
              </c:ext>
            </c:extLst>
          </c:dPt>
          <c:dPt>
            <c:idx val="9"/>
            <c:bubble3D val="0"/>
            <c:spPr>
              <a:solidFill>
                <a:schemeClr val="accent4"/>
              </a:solidFill>
            </c:spPr>
            <c:extLst>
              <c:ext xmlns:c16="http://schemas.microsoft.com/office/drawing/2014/chart" uri="{C3380CC4-5D6E-409C-BE32-E72D297353CC}">
                <c16:uniqueId val="{00000013-0C7D-4E05-AD5D-6BDC76C20603}"/>
              </c:ext>
            </c:extLst>
          </c:dPt>
          <c:dPt>
            <c:idx val="10"/>
            <c:bubble3D val="0"/>
            <c:spPr>
              <a:solidFill>
                <a:schemeClr val="accent5"/>
              </a:solidFill>
            </c:spPr>
            <c:extLst>
              <c:ext xmlns:c16="http://schemas.microsoft.com/office/drawing/2014/chart" uri="{C3380CC4-5D6E-409C-BE32-E72D297353CC}">
                <c16:uniqueId val="{00000015-0C7D-4E05-AD5D-6BDC76C20603}"/>
              </c:ext>
            </c:extLst>
          </c:dPt>
          <c:dPt>
            <c:idx val="11"/>
            <c:bubble3D val="0"/>
            <c:spPr>
              <a:solidFill>
                <a:schemeClr val="accent6"/>
              </a:solidFill>
            </c:spPr>
            <c:extLst>
              <c:ext xmlns:c16="http://schemas.microsoft.com/office/drawing/2014/chart" uri="{C3380CC4-5D6E-409C-BE32-E72D297353CC}">
                <c16:uniqueId val="{00000017-0C7D-4E05-AD5D-6BDC76C20603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Stats!$A$2:$A$13</c:f>
              <c:strCache>
                <c:ptCount val="12"/>
                <c:pt idx="0">
                  <c:v>Suma de Arroz El Pais 1 Kg</c:v>
                </c:pt>
                <c:pt idx="1">
                  <c:v>Suma de Verduras Minuto Verde 1 Kg</c:v>
                </c:pt>
                <c:pt idx="2">
                  <c:v>Suma de Azucar Flor De Reyes 1 Kg</c:v>
                </c:pt>
                <c:pt idx="3">
                  <c:v>Suma de Atun Isadora 100 gr</c:v>
                </c:pt>
                <c:pt idx="4">
                  <c:v>Suma de Fideos gentil 400 gr</c:v>
                </c:pt>
                <c:pt idx="5">
                  <c:v>Suma de Aceite Full Frito 10 Lt</c:v>
                </c:pt>
                <c:pt idx="6">
                  <c:v>Suma de Surtidos de mariscos corcovado 190 gr</c:v>
                </c:pt>
                <c:pt idx="7">
                  <c:v>Suma de Poroto blanco de reyes 1kg</c:v>
                </c:pt>
                <c:pt idx="8">
                  <c:v>Suma de Salmon al natural corcovado 160 gr</c:v>
                </c:pt>
                <c:pt idx="9">
                  <c:v>Suma de Jurel san jose 160gr</c:v>
                </c:pt>
                <c:pt idx="10">
                  <c:v>Suma de Jibia corcovado</c:v>
                </c:pt>
                <c:pt idx="11">
                  <c:v>Suma de Choritos costa tenglo</c:v>
                </c:pt>
              </c:strCache>
            </c:strRef>
          </c:cat>
          <c:val>
            <c:numRef>
              <c:f>Stats!$B$2:$B$13</c:f>
              <c:numCache>
                <c:formatCode>General</c:formatCode>
                <c:ptCount val="12"/>
                <c:pt idx="0">
                  <c:v>85.5</c:v>
                </c:pt>
                <c:pt idx="1">
                  <c:v>1</c:v>
                </c:pt>
                <c:pt idx="3">
                  <c:v>115.3</c:v>
                </c:pt>
                <c:pt idx="4">
                  <c:v>60</c:v>
                </c:pt>
                <c:pt idx="5">
                  <c:v>63</c:v>
                </c:pt>
                <c:pt idx="6">
                  <c:v>22.65</c:v>
                </c:pt>
                <c:pt idx="7">
                  <c:v>4</c:v>
                </c:pt>
                <c:pt idx="8">
                  <c:v>45.5</c:v>
                </c:pt>
                <c:pt idx="9">
                  <c:v>16</c:v>
                </c:pt>
                <c:pt idx="10">
                  <c:v>33</c:v>
                </c:pt>
                <c:pt idx="11">
                  <c:v>19.5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C7D-4E05-AD5D-6BDC76C206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>
        <c:manualLayout>
          <c:xMode val="edge"/>
          <c:yMode val="edge"/>
          <c:x val="0.65000113729016995"/>
          <c:y val="6.0715668331043068E-2"/>
        </c:manualLayout>
      </c:layout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s-MX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847725</xdr:colOff>
      <xdr:row>2</xdr:row>
      <xdr:rowOff>9525</xdr:rowOff>
    </xdr:from>
    <xdr:ext cx="8572500" cy="4695825"/>
    <xdr:graphicFrame macro="">
      <xdr:nvGraphicFramePr>
        <xdr:cNvPr id="1719120536" name="Chart 1">
          <a:extLst>
            <a:ext uri="{FF2B5EF4-FFF2-40B4-BE49-F238E27FC236}">
              <a16:creationId xmlns:a16="http://schemas.microsoft.com/office/drawing/2014/main" id="{00000000-0008-0000-0300-000098B277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rge" refreshedDate="46017.686719791665" createdVersion="8" refreshedVersion="8" minRefreshableVersion="3" recordCount="216" xr:uid="{E96DF35F-FD61-4FEF-9934-B34A9A16448C}">
  <cacheSource type="worksheet">
    <worksheetSource ref="A1:W217" sheet="ventas"/>
  </cacheSource>
  <cacheFields count="25">
    <cacheField name="fecha" numFmtId="0">
      <sharedItems containsSemiMixedTypes="0" containsNonDate="0" containsDate="1" containsString="0" minDate="2025-09-02T00:00:00" maxDate="2025-12-20T00:00:00" count="59">
        <d v="2025-09-09T00:00:00"/>
        <d v="2025-09-11T00:00:00"/>
        <d v="2025-09-12T00:00:00"/>
        <d v="2025-09-13T00:00:00"/>
        <d v="2025-09-14T00:00:00"/>
        <d v="2025-09-16T00:00:00"/>
        <d v="2025-09-17T00:00:00"/>
        <d v="2025-09-02T00:00:00"/>
        <d v="2025-09-04T00:00:00"/>
        <d v="2025-09-06T00:00:00"/>
        <d v="2025-09-23T00:00:00"/>
        <d v="2025-09-24T00:00:00"/>
        <d v="2025-09-25T00:00:00"/>
        <d v="2025-09-26T00:00:00"/>
        <d v="2025-09-27T00:00:00"/>
        <d v="2025-09-28T00:00:00"/>
        <d v="2025-09-29T00:00:00"/>
        <d v="2025-09-30T00:00:00"/>
        <d v="2025-10-01T00:00:00"/>
        <d v="2025-10-02T00:00:00"/>
        <d v="2025-10-03T00:00:00"/>
        <d v="2025-10-05T00:00:00"/>
        <d v="2025-10-06T00:00:00"/>
        <d v="2025-10-07T00:00:00"/>
        <d v="2025-10-08T00:00:00"/>
        <d v="2025-10-09T00:00:00"/>
        <d v="2025-10-10T00:00:00"/>
        <d v="2025-10-12T00:00:00"/>
        <d v="2025-10-14T00:00:00"/>
        <d v="2025-10-15T00:00:00"/>
        <d v="2025-10-16T00:00:00"/>
        <d v="2025-10-23T00:00:00"/>
        <d v="2025-10-28T00:00:00"/>
        <d v="2025-10-29T00:00:00"/>
        <d v="2025-10-30T00:00:00"/>
        <d v="2025-10-31T00:00:00"/>
        <d v="2025-11-03T00:00:00"/>
        <d v="2025-11-04T00:00:00"/>
        <d v="2025-11-05T00:00:00"/>
        <d v="2025-11-07T00:00:00"/>
        <d v="2025-11-08T00:00:00"/>
        <d v="2025-11-11T00:00:00"/>
        <d v="2025-11-12T00:00:00"/>
        <d v="2025-11-13T00:00:00"/>
        <d v="2025-11-14T00:00:00"/>
        <d v="2025-11-15T00:00:00"/>
        <d v="2025-11-17T00:00:00"/>
        <d v="2025-11-19T00:00:00"/>
        <d v="2025-11-20T00:00:00"/>
        <d v="2025-11-22T00:00:00"/>
        <d v="2025-11-25T00:00:00"/>
        <d v="2025-11-27T00:00:00"/>
        <d v="2025-12-01T00:00:00"/>
        <d v="2025-12-02T00:00:00"/>
        <d v="2025-12-04T00:00:00"/>
        <d v="2025-12-12T00:00:00"/>
        <d v="2025-12-16T00:00:00"/>
        <d v="2025-12-17T00:00:00"/>
        <d v="2025-12-19T00:00:00"/>
      </sharedItems>
      <fieldGroup par="24"/>
    </cacheField>
    <cacheField name="Nº de venta" numFmtId="0">
      <sharedItems containsString="0" containsBlank="1" containsNumber="1" containsInteger="1" minValue="1" maxValue="203"/>
    </cacheField>
    <cacheField name="Columna1" numFmtId="0">
      <sharedItems containsNonDate="0" containsString="0" containsBlank="1"/>
    </cacheField>
    <cacheField name="semanal" numFmtId="0">
      <sharedItems containsString="0" containsBlank="1" containsNumber="1" containsInteger="1" minValue="1" maxValue="4"/>
    </cacheField>
    <cacheField name="bolsillo feliz" numFmtId="0">
      <sharedItems containsString="0" containsBlank="1" containsNumber="1" containsInteger="1" minValue="1" maxValue="15"/>
    </cacheField>
    <cacheField name="mensual" numFmtId="0">
      <sharedItems containsString="0" containsBlank="1" containsNumber="1" containsInteger="1" minValue="1" maxValue="2"/>
    </cacheField>
    <cacheField name="niños" numFmtId="0">
      <sharedItems containsString="0" containsBlank="1" containsNumber="1" containsInteger="1" minValue="1" maxValue="1"/>
    </cacheField>
    <cacheField name="Arroz El Pais 1 Kg" numFmtId="0">
      <sharedItems containsString="0" containsBlank="1" containsNumber="1" minValue="0.5" maxValue="6"/>
    </cacheField>
    <cacheField name="Verduras Minuto Verde 1 Kg" numFmtId="0">
      <sharedItems containsString="0" containsBlank="1" containsNumber="1" containsInteger="1" minValue="1" maxValue="1"/>
    </cacheField>
    <cacheField name="Azucar Flor De Reyes 1 Kg" numFmtId="0">
      <sharedItems containsNonDate="0" containsString="0" containsBlank="1"/>
    </cacheField>
    <cacheField name="Atun Isadora 100 gr" numFmtId="0">
      <sharedItems containsString="0" containsBlank="1" containsNumber="1" minValue="0.1" maxValue="5"/>
    </cacheField>
    <cacheField name="Aceite Full Frito 10 Lt" numFmtId="0">
      <sharedItems containsString="0" containsBlank="1" containsNumber="1" containsInteger="1" minValue="1" maxValue="18"/>
    </cacheField>
    <cacheField name="Fideos gentil 400 gr" numFmtId="0">
      <sharedItems containsString="0" containsBlank="1" containsNumber="1" containsInteger="1" minValue="1" maxValue="10"/>
    </cacheField>
    <cacheField name="Salmon al natural corcovado 160 gr" numFmtId="0">
      <sharedItems containsString="0" containsBlank="1" containsNumber="1" minValue="0.5" maxValue="2"/>
    </cacheField>
    <cacheField name="Surtidos de mariscos corcovado 190 gr" numFmtId="0">
      <sharedItems containsString="0" containsBlank="1" containsNumber="1" minValue="0.5" maxValue="1"/>
    </cacheField>
    <cacheField name="Poroto blanco de reyes 1kg" numFmtId="0">
      <sharedItems containsString="0" containsBlank="1" containsNumber="1" containsInteger="1" minValue="1" maxValue="1"/>
    </cacheField>
    <cacheField name="Jurel san jose 160gr" numFmtId="0">
      <sharedItems containsString="0" containsBlank="1" containsNumber="1" containsInteger="1" minValue="1" maxValue="1"/>
    </cacheField>
    <cacheField name="Jibia corcovado" numFmtId="0">
      <sharedItems containsString="0" containsBlank="1" containsNumber="1" containsInteger="1" minValue="1" maxValue="3"/>
    </cacheField>
    <cacheField name="Choritos costa tenglo" numFmtId="0">
      <sharedItems containsString="0" containsBlank="1" containsNumber="1" minValue="0.5" maxValue="2"/>
    </cacheField>
    <cacheField name="total productos" numFmtId="0">
      <sharedItems containsSemiMixedTypes="0" containsString="0" containsNumber="1" minValue="0" maxValue="18"/>
    </cacheField>
    <cacheField name="total compra" numFmtId="0">
      <sharedItems containsSemiMixedTypes="0" containsString="0" containsNumber="1" containsInteger="1" minValue="0" maxValue="472500"/>
    </cacheField>
    <cacheField name="Metodo pago" numFmtId="0">
      <sharedItems containsBlank="1"/>
    </cacheField>
    <cacheField name="repartidor" numFmtId="0">
      <sharedItems containsBlank="1"/>
    </cacheField>
    <cacheField name="Días (fecha)" numFmtId="0" databaseField="0">
      <fieldGroup base="0">
        <rangePr groupBy="days" startDate="2025-09-02T00:00:00" endDate="2025-12-20T00:00:00"/>
        <groupItems count="368">
          <s v="&lt;02/09/2025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20/12/2025"/>
        </groupItems>
      </fieldGroup>
    </cacheField>
    <cacheField name="Meses (fecha)" numFmtId="0" databaseField="0">
      <fieldGroup base="0">
        <rangePr groupBy="months" startDate="2025-09-02T00:00:00" endDate="2025-12-20T00:00:00"/>
        <groupItems count="14">
          <s v="&lt;02/09/2025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20/12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uerto Distribucion" refreshedDate="46020.758880787034" createdVersion="8" refreshedVersion="8" minRefreshableVersion="3" recordCount="218" xr:uid="{4619033A-8763-48B0-9440-57858724C7FF}">
  <cacheSource type="worksheet">
    <worksheetSource ref="A1:U219" sheet="ventas"/>
  </cacheSource>
  <cacheFields count="21">
    <cacheField name="fecha" numFmtId="0">
      <sharedItems containsSemiMixedTypes="0" containsNonDate="0" containsDate="1" containsString="0" minDate="2025-09-02T00:00:00" maxDate="2025-12-25T00:00:00"/>
    </cacheField>
    <cacheField name="Nº de venta" numFmtId="0">
      <sharedItems containsString="0" containsBlank="1" containsNumber="1" containsInteger="1" minValue="1" maxValue="205"/>
    </cacheField>
    <cacheField name="Columna1" numFmtId="0">
      <sharedItems containsNonDate="0" containsString="0" containsBlank="1"/>
    </cacheField>
    <cacheField name="semanal" numFmtId="0">
      <sharedItems containsString="0" containsBlank="1" containsNumber="1" containsInteger="1" minValue="1" maxValue="4"/>
    </cacheField>
    <cacheField name="bolsillo feliz" numFmtId="0">
      <sharedItems containsString="0" containsBlank="1" containsNumber="1" containsInteger="1" minValue="1" maxValue="15"/>
    </cacheField>
    <cacheField name="mensual" numFmtId="0">
      <sharedItems containsString="0" containsBlank="1" containsNumber="1" containsInteger="1" minValue="1" maxValue="2"/>
    </cacheField>
    <cacheField name="niños" numFmtId="0">
      <sharedItems containsString="0" containsBlank="1" containsNumber="1" containsInteger="1" minValue="1" maxValue="1"/>
    </cacheField>
    <cacheField name="Arroz El Pais 1 Kg" numFmtId="0">
      <sharedItems containsString="0" containsBlank="1" containsNumber="1" minValue="0.5" maxValue="6"/>
    </cacheField>
    <cacheField name="Verduras Minuto Verde 1 Kg" numFmtId="0">
      <sharedItems containsString="0" containsBlank="1" containsNumber="1" containsInteger="1" minValue="1" maxValue="1"/>
    </cacheField>
    <cacheField name="Azucar Flor De Reyes 1 Kg" numFmtId="0">
      <sharedItems containsNonDate="0" containsString="0" containsBlank="1"/>
    </cacheField>
    <cacheField name="Atun Isadora 100 gr" numFmtId="0">
      <sharedItems containsString="0" containsBlank="1" containsNumber="1" minValue="0.1" maxValue="5"/>
    </cacheField>
    <cacheField name="Aceite Full Frito 10 Lt" numFmtId="0">
      <sharedItems containsString="0" containsBlank="1" containsNumber="1" containsInteger="1" minValue="1" maxValue="18"/>
    </cacheField>
    <cacheField name="Fideos gentil 400 gr" numFmtId="0">
      <sharedItems containsString="0" containsBlank="1" containsNumber="1" containsInteger="1" minValue="1" maxValue="10"/>
    </cacheField>
    <cacheField name="Salmon al natural corcovado 160 gr" numFmtId="0">
      <sharedItems containsString="0" containsBlank="1" containsNumber="1" minValue="0.5" maxValue="2"/>
    </cacheField>
    <cacheField name="Surtidos de mariscos corcovado 190 gr" numFmtId="0">
      <sharedItems containsString="0" containsBlank="1" containsNumber="1" minValue="0.5" maxValue="1"/>
    </cacheField>
    <cacheField name="Poroto blanco de reyes 1kg" numFmtId="0">
      <sharedItems containsString="0" containsBlank="1" containsNumber="1" containsInteger="1" minValue="1" maxValue="1"/>
    </cacheField>
    <cacheField name="Jurel san jose 160gr" numFmtId="0">
      <sharedItems containsString="0" containsBlank="1" containsNumber="1" containsInteger="1" minValue="1" maxValue="1"/>
    </cacheField>
    <cacheField name="Jibia corcovado" numFmtId="0">
      <sharedItems containsString="0" containsBlank="1" containsNumber="1" containsInteger="1" minValue="1" maxValue="3"/>
    </cacheField>
    <cacheField name="Choritos costa tenglo" numFmtId="0">
      <sharedItems containsString="0" containsBlank="1" containsNumber="1" minValue="0.5" maxValue="2"/>
    </cacheField>
    <cacheField name="total productos" numFmtId="0">
      <sharedItems containsSemiMixedTypes="0" containsString="0" containsNumber="1" minValue="0" maxValue="18"/>
    </cacheField>
    <cacheField name="total compra" numFmtId="0">
      <sharedItems containsSemiMixedTypes="0" containsString="0" containsNumber="1" containsInteger="1" minValue="0" maxValue="4725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uerto Distribucion" refreshedDate="46028.556959953705" createdVersion="8" refreshedVersion="8" minRefreshableVersion="3" recordCount="220" xr:uid="{6B3D7B10-8EE6-4EA0-AE46-0B75CFB5F29F}">
  <cacheSource type="worksheet">
    <worksheetSource ref="A1:U221" sheet="ventas"/>
  </cacheSource>
  <cacheFields count="23">
    <cacheField name="fecha" numFmtId="0">
      <sharedItems containsSemiMixedTypes="0" containsNonDate="0" containsDate="1" containsString="0" minDate="2025-09-02T00:00:00" maxDate="2026-01-01T00:00:00" count="61">
        <d v="2025-09-09T00:00:00"/>
        <d v="2025-09-11T00:00:00"/>
        <d v="2025-09-12T00:00:00"/>
        <d v="2025-09-13T00:00:00"/>
        <d v="2025-09-14T00:00:00"/>
        <d v="2025-09-16T00:00:00"/>
        <d v="2025-09-17T00:00:00"/>
        <d v="2025-09-02T00:00:00"/>
        <d v="2025-09-04T00:00:00"/>
        <d v="2025-09-06T00:00:00"/>
        <d v="2025-09-23T00:00:00"/>
        <d v="2025-09-24T00:00:00"/>
        <d v="2025-09-25T00:00:00"/>
        <d v="2025-09-26T00:00:00"/>
        <d v="2025-09-27T00:00:00"/>
        <d v="2025-09-28T00:00:00"/>
        <d v="2025-09-29T00:00:00"/>
        <d v="2025-09-30T00:00:00"/>
        <d v="2025-10-01T00:00:00"/>
        <d v="2025-10-02T00:00:00"/>
        <d v="2025-10-03T00:00:00"/>
        <d v="2025-10-05T00:00:00"/>
        <d v="2025-10-06T00:00:00"/>
        <d v="2025-10-07T00:00:00"/>
        <d v="2025-10-08T00:00:00"/>
        <d v="2025-10-09T00:00:00"/>
        <d v="2025-10-10T00:00:00"/>
        <d v="2025-10-12T00:00:00"/>
        <d v="2025-10-14T00:00:00"/>
        <d v="2025-10-15T00:00:00"/>
        <d v="2025-10-16T00:00:00"/>
        <d v="2025-10-23T00:00:00"/>
        <d v="2025-10-28T00:00:00"/>
        <d v="2025-10-29T00:00:00"/>
        <d v="2025-10-30T00:00:00"/>
        <d v="2025-10-31T00:00:00"/>
        <d v="2025-11-03T00:00:00"/>
        <d v="2025-11-04T00:00:00"/>
        <d v="2025-11-05T00:00:00"/>
        <d v="2025-11-07T00:00:00"/>
        <d v="2025-11-08T00:00:00"/>
        <d v="2025-11-11T00:00:00"/>
        <d v="2025-11-12T00:00:00"/>
        <d v="2025-11-13T00:00:00"/>
        <d v="2025-11-14T00:00:00"/>
        <d v="2025-11-15T00:00:00"/>
        <d v="2025-11-17T00:00:00"/>
        <d v="2025-11-19T00:00:00"/>
        <d v="2025-11-20T00:00:00"/>
        <d v="2025-11-22T00:00:00"/>
        <d v="2025-11-25T00:00:00"/>
        <d v="2025-11-27T00:00:00"/>
        <d v="2025-12-01T00:00:00"/>
        <d v="2025-12-02T00:00:00"/>
        <d v="2025-12-04T00:00:00"/>
        <d v="2025-12-12T00:00:00"/>
        <d v="2025-12-16T00:00:00"/>
        <d v="2025-12-17T00:00:00"/>
        <d v="2025-12-19T00:00:00"/>
        <d v="2025-12-24T00:00:00"/>
        <d v="2025-12-31T00:00:00"/>
      </sharedItems>
      <fieldGroup par="22"/>
    </cacheField>
    <cacheField name="Nº de venta" numFmtId="0">
      <sharedItems containsString="0" containsBlank="1" containsNumber="1" containsInteger="1" minValue="1" maxValue="207"/>
    </cacheField>
    <cacheField name="Columna1" numFmtId="0">
      <sharedItems containsNonDate="0" containsString="0" containsBlank="1"/>
    </cacheField>
    <cacheField name="semanal" numFmtId="0">
      <sharedItems containsString="0" containsBlank="1" containsNumber="1" containsInteger="1" minValue="1" maxValue="4"/>
    </cacheField>
    <cacheField name="bolsillo feliz" numFmtId="0">
      <sharedItems containsString="0" containsBlank="1" containsNumber="1" containsInteger="1" minValue="1" maxValue="15"/>
    </cacheField>
    <cacheField name="mensual" numFmtId="0">
      <sharedItems containsString="0" containsBlank="1" containsNumber="1" containsInteger="1" minValue="1" maxValue="2"/>
    </cacheField>
    <cacheField name="niños" numFmtId="0">
      <sharedItems containsString="0" containsBlank="1" containsNumber="1" containsInteger="1" minValue="1" maxValue="1"/>
    </cacheField>
    <cacheField name="Arroz El Pais 1 Kg" numFmtId="0">
      <sharedItems containsString="0" containsBlank="1" containsNumber="1" minValue="0.5" maxValue="6"/>
    </cacheField>
    <cacheField name="Verduras Minuto Verde 1 Kg" numFmtId="0">
      <sharedItems containsString="0" containsBlank="1" containsNumber="1" containsInteger="1" minValue="1" maxValue="1"/>
    </cacheField>
    <cacheField name="Azucar Flor De Reyes 1 Kg" numFmtId="0">
      <sharedItems containsNonDate="0" containsString="0" containsBlank="1"/>
    </cacheField>
    <cacheField name="Atun Isadora 100 gr" numFmtId="0">
      <sharedItems containsString="0" containsBlank="1" containsNumber="1" minValue="0.1" maxValue="5"/>
    </cacheField>
    <cacheField name="Aceite Full Frito 10 Lt" numFmtId="0">
      <sharedItems containsString="0" containsBlank="1" containsNumber="1" containsInteger="1" minValue="1" maxValue="18"/>
    </cacheField>
    <cacheField name="Fideos gentil 400 gr" numFmtId="0">
      <sharedItems containsString="0" containsBlank="1" containsNumber="1" containsInteger="1" minValue="1" maxValue="10"/>
    </cacheField>
    <cacheField name="Salmon al natural corcovado 160 gr" numFmtId="0">
      <sharedItems containsString="0" containsBlank="1" containsNumber="1" minValue="0.5" maxValue="2"/>
    </cacheField>
    <cacheField name="Surtidos de mariscos corcovado 190 gr" numFmtId="0">
      <sharedItems containsString="0" containsBlank="1" containsNumber="1" minValue="0.5" maxValue="1"/>
    </cacheField>
    <cacheField name="Poroto blanco de reyes 1kg" numFmtId="0">
      <sharedItems containsString="0" containsBlank="1" containsNumber="1" containsInteger="1" minValue="1" maxValue="1"/>
    </cacheField>
    <cacheField name="Jurel san jose 160gr" numFmtId="0">
      <sharedItems containsString="0" containsBlank="1" containsNumber="1" containsInteger="1" minValue="1" maxValue="1"/>
    </cacheField>
    <cacheField name="Jibia corcovado" numFmtId="0">
      <sharedItems containsString="0" containsBlank="1" containsNumber="1" containsInteger="1" minValue="1" maxValue="3"/>
    </cacheField>
    <cacheField name="Choritos costa tenglo" numFmtId="0">
      <sharedItems containsString="0" containsBlank="1" containsNumber="1" minValue="0.5" maxValue="2"/>
    </cacheField>
    <cacheField name="total productos" numFmtId="0">
      <sharedItems containsSemiMixedTypes="0" containsString="0" containsNumber="1" minValue="0" maxValue="18"/>
    </cacheField>
    <cacheField name="total compra" numFmtId="0">
      <sharedItems containsSemiMixedTypes="0" containsString="0" containsNumber="1" containsInteger="1" minValue="0" maxValue="472500"/>
    </cacheField>
    <cacheField name="Días (fecha)" numFmtId="0" databaseField="0">
      <fieldGroup base="0">
        <rangePr groupBy="days" startDate="2025-09-02T00:00:00" endDate="2026-01-01T00:00:00"/>
        <groupItems count="368">
          <s v="&lt;02-09-2025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01-01-2026"/>
        </groupItems>
      </fieldGroup>
    </cacheField>
    <cacheField name="Meses (fecha)" numFmtId="0" databaseField="0">
      <fieldGroup base="0">
        <rangePr groupBy="months" startDate="2025-09-02T00:00:00" endDate="2026-01-01T00:00:00"/>
        <groupItems count="14">
          <s v="&lt;02-09-2025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1-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6">
  <r>
    <x v="0"/>
    <n v="1"/>
    <m/>
    <m/>
    <m/>
    <m/>
    <m/>
    <n v="1"/>
    <m/>
    <m/>
    <n v="1"/>
    <m/>
    <n v="1"/>
    <n v="1"/>
    <m/>
    <m/>
    <m/>
    <m/>
    <m/>
    <n v="4"/>
    <n v="51500"/>
    <m/>
    <m/>
  </r>
  <r>
    <x v="0"/>
    <n v="2"/>
    <m/>
    <n v="1"/>
    <m/>
    <m/>
    <m/>
    <m/>
    <m/>
    <m/>
    <n v="2"/>
    <m/>
    <m/>
    <m/>
    <m/>
    <m/>
    <m/>
    <m/>
    <m/>
    <n v="3"/>
    <n v="45400"/>
    <m/>
    <m/>
  </r>
  <r>
    <x v="0"/>
    <n v="3"/>
    <m/>
    <m/>
    <m/>
    <m/>
    <m/>
    <m/>
    <m/>
    <m/>
    <m/>
    <n v="1"/>
    <n v="2"/>
    <m/>
    <m/>
    <m/>
    <m/>
    <m/>
    <m/>
    <n v="3"/>
    <n v="34900"/>
    <m/>
    <m/>
  </r>
  <r>
    <x v="0"/>
    <n v="4"/>
    <m/>
    <m/>
    <m/>
    <m/>
    <m/>
    <m/>
    <m/>
    <m/>
    <m/>
    <m/>
    <m/>
    <n v="1"/>
    <m/>
    <m/>
    <m/>
    <m/>
    <m/>
    <n v="1"/>
    <n v="24000"/>
    <m/>
    <m/>
  </r>
  <r>
    <x v="0"/>
    <n v="5"/>
    <m/>
    <m/>
    <m/>
    <m/>
    <n v="1"/>
    <n v="1"/>
    <m/>
    <m/>
    <n v="1"/>
    <m/>
    <n v="1"/>
    <m/>
    <m/>
    <m/>
    <n v="1"/>
    <m/>
    <m/>
    <n v="5"/>
    <n v="77400"/>
    <m/>
    <m/>
  </r>
  <r>
    <x v="0"/>
    <n v="6"/>
    <m/>
    <m/>
    <m/>
    <m/>
    <m/>
    <m/>
    <m/>
    <m/>
    <m/>
    <n v="4"/>
    <m/>
    <m/>
    <m/>
    <m/>
    <m/>
    <m/>
    <m/>
    <n v="4"/>
    <n v="79600"/>
    <m/>
    <m/>
  </r>
  <r>
    <x v="1"/>
    <n v="7"/>
    <m/>
    <m/>
    <m/>
    <m/>
    <m/>
    <m/>
    <m/>
    <m/>
    <n v="2"/>
    <m/>
    <m/>
    <n v="1"/>
    <m/>
    <m/>
    <n v="1"/>
    <m/>
    <m/>
    <n v="4"/>
    <n v="60000"/>
    <m/>
    <m/>
  </r>
  <r>
    <x v="1"/>
    <n v="8"/>
    <m/>
    <m/>
    <m/>
    <m/>
    <m/>
    <m/>
    <m/>
    <m/>
    <m/>
    <m/>
    <n v="1"/>
    <n v="1"/>
    <m/>
    <m/>
    <n v="1"/>
    <m/>
    <m/>
    <n v="3"/>
    <n v="47500"/>
    <m/>
    <m/>
  </r>
  <r>
    <x v="1"/>
    <n v="9"/>
    <m/>
    <m/>
    <m/>
    <m/>
    <m/>
    <n v="6"/>
    <m/>
    <m/>
    <m/>
    <m/>
    <n v="10"/>
    <m/>
    <m/>
    <n v="1"/>
    <m/>
    <n v="1"/>
    <m/>
    <n v="18"/>
    <n v="170000"/>
    <m/>
    <m/>
  </r>
  <r>
    <x v="2"/>
    <n v="10"/>
    <m/>
    <m/>
    <m/>
    <m/>
    <n v="1"/>
    <m/>
    <m/>
    <m/>
    <m/>
    <m/>
    <m/>
    <m/>
    <m/>
    <m/>
    <m/>
    <m/>
    <m/>
    <n v="1"/>
    <n v="33900"/>
    <m/>
    <m/>
  </r>
  <r>
    <x v="2"/>
    <n v="11"/>
    <m/>
    <m/>
    <m/>
    <m/>
    <m/>
    <m/>
    <m/>
    <m/>
    <m/>
    <m/>
    <m/>
    <n v="1"/>
    <m/>
    <m/>
    <m/>
    <n v="1"/>
    <m/>
    <n v="2"/>
    <n v="34000"/>
    <m/>
    <m/>
  </r>
  <r>
    <x v="2"/>
    <n v="12"/>
    <m/>
    <m/>
    <m/>
    <m/>
    <m/>
    <n v="1"/>
    <m/>
    <m/>
    <m/>
    <m/>
    <n v="2"/>
    <m/>
    <m/>
    <n v="1"/>
    <m/>
    <m/>
    <m/>
    <n v="4"/>
    <n v="99000"/>
    <m/>
    <m/>
  </r>
  <r>
    <x v="2"/>
    <n v="13"/>
    <m/>
    <m/>
    <m/>
    <m/>
    <m/>
    <n v="1"/>
    <m/>
    <m/>
    <n v="1"/>
    <m/>
    <m/>
    <m/>
    <n v="1"/>
    <m/>
    <m/>
    <m/>
    <m/>
    <n v="3"/>
    <n v="36000"/>
    <m/>
    <m/>
  </r>
  <r>
    <x v="2"/>
    <n v="14"/>
    <m/>
    <m/>
    <m/>
    <m/>
    <m/>
    <m/>
    <m/>
    <m/>
    <m/>
    <n v="2"/>
    <m/>
    <m/>
    <m/>
    <m/>
    <m/>
    <m/>
    <m/>
    <n v="2"/>
    <n v="127880"/>
    <m/>
    <m/>
  </r>
  <r>
    <x v="2"/>
    <n v="15"/>
    <m/>
    <m/>
    <m/>
    <m/>
    <m/>
    <m/>
    <n v="1"/>
    <m/>
    <m/>
    <n v="1"/>
    <m/>
    <m/>
    <m/>
    <m/>
    <m/>
    <m/>
    <m/>
    <n v="2"/>
    <n v="34900"/>
    <m/>
    <m/>
  </r>
  <r>
    <x v="2"/>
    <n v="16"/>
    <m/>
    <m/>
    <m/>
    <n v="1"/>
    <m/>
    <m/>
    <m/>
    <m/>
    <m/>
    <m/>
    <m/>
    <m/>
    <m/>
    <m/>
    <m/>
    <m/>
    <m/>
    <n v="1"/>
    <n v="80000"/>
    <m/>
    <m/>
  </r>
  <r>
    <x v="2"/>
    <n v="17"/>
    <m/>
    <m/>
    <m/>
    <m/>
    <m/>
    <m/>
    <m/>
    <m/>
    <m/>
    <n v="1"/>
    <m/>
    <n v="1"/>
    <m/>
    <m/>
    <m/>
    <m/>
    <m/>
    <n v="2"/>
    <n v="43900"/>
    <m/>
    <m/>
  </r>
  <r>
    <x v="2"/>
    <n v="18"/>
    <m/>
    <m/>
    <m/>
    <m/>
    <m/>
    <m/>
    <m/>
    <m/>
    <n v="1"/>
    <m/>
    <m/>
    <m/>
    <m/>
    <m/>
    <n v="1"/>
    <m/>
    <m/>
    <n v="2"/>
    <n v="26000"/>
    <m/>
    <m/>
  </r>
  <r>
    <x v="3"/>
    <n v="19"/>
    <m/>
    <m/>
    <m/>
    <m/>
    <m/>
    <m/>
    <m/>
    <m/>
    <m/>
    <m/>
    <n v="1"/>
    <n v="1"/>
    <m/>
    <m/>
    <m/>
    <m/>
    <m/>
    <n v="2"/>
    <n v="31500"/>
    <m/>
    <m/>
  </r>
  <r>
    <x v="3"/>
    <n v="20"/>
    <m/>
    <m/>
    <m/>
    <m/>
    <m/>
    <n v="2"/>
    <m/>
    <m/>
    <n v="1"/>
    <m/>
    <n v="2"/>
    <m/>
    <m/>
    <m/>
    <m/>
    <m/>
    <m/>
    <n v="5"/>
    <n v="45000"/>
    <m/>
    <m/>
  </r>
  <r>
    <x v="3"/>
    <n v="21"/>
    <m/>
    <m/>
    <m/>
    <m/>
    <m/>
    <n v="1"/>
    <m/>
    <m/>
    <n v="1"/>
    <m/>
    <m/>
    <m/>
    <n v="1"/>
    <m/>
    <n v="1"/>
    <m/>
    <m/>
    <n v="4"/>
    <n v="52000"/>
    <m/>
    <m/>
  </r>
  <r>
    <x v="4"/>
    <n v="22"/>
    <m/>
    <m/>
    <m/>
    <m/>
    <m/>
    <n v="1"/>
    <m/>
    <m/>
    <n v="2"/>
    <m/>
    <n v="1"/>
    <m/>
    <m/>
    <m/>
    <m/>
    <m/>
    <m/>
    <n v="4"/>
    <n v="37500"/>
    <m/>
    <m/>
  </r>
  <r>
    <x v="4"/>
    <n v="23"/>
    <m/>
    <m/>
    <n v="1"/>
    <m/>
    <n v="1"/>
    <m/>
    <m/>
    <m/>
    <m/>
    <m/>
    <m/>
    <m/>
    <m/>
    <m/>
    <m/>
    <m/>
    <m/>
    <n v="2"/>
    <n v="65400"/>
    <m/>
    <m/>
  </r>
  <r>
    <x v="4"/>
    <n v="24"/>
    <m/>
    <m/>
    <n v="1"/>
    <m/>
    <m/>
    <m/>
    <m/>
    <m/>
    <n v="1"/>
    <m/>
    <m/>
    <m/>
    <m/>
    <m/>
    <m/>
    <m/>
    <m/>
    <n v="2"/>
    <n v="41500"/>
    <m/>
    <m/>
  </r>
  <r>
    <x v="5"/>
    <n v="25"/>
    <m/>
    <m/>
    <m/>
    <n v="1"/>
    <m/>
    <m/>
    <m/>
    <m/>
    <m/>
    <m/>
    <m/>
    <m/>
    <m/>
    <m/>
    <m/>
    <m/>
    <m/>
    <n v="1"/>
    <n v="80000"/>
    <m/>
    <m/>
  </r>
  <r>
    <x v="5"/>
    <n v="26"/>
    <m/>
    <m/>
    <m/>
    <m/>
    <m/>
    <n v="1"/>
    <m/>
    <m/>
    <m/>
    <m/>
    <n v="4"/>
    <m/>
    <m/>
    <m/>
    <m/>
    <m/>
    <m/>
    <n v="5"/>
    <n v="40000"/>
    <m/>
    <m/>
  </r>
  <r>
    <x v="5"/>
    <n v="27"/>
    <m/>
    <m/>
    <n v="1"/>
    <m/>
    <m/>
    <m/>
    <m/>
    <m/>
    <m/>
    <m/>
    <m/>
    <m/>
    <m/>
    <m/>
    <m/>
    <m/>
    <m/>
    <n v="1"/>
    <n v="31500"/>
    <m/>
    <m/>
  </r>
  <r>
    <x v="5"/>
    <n v="28"/>
    <m/>
    <m/>
    <n v="1"/>
    <m/>
    <m/>
    <m/>
    <m/>
    <m/>
    <m/>
    <m/>
    <m/>
    <m/>
    <m/>
    <m/>
    <m/>
    <m/>
    <m/>
    <n v="1"/>
    <n v="31500"/>
    <m/>
    <m/>
  </r>
  <r>
    <x v="5"/>
    <n v="29"/>
    <m/>
    <m/>
    <m/>
    <m/>
    <m/>
    <n v="2"/>
    <m/>
    <m/>
    <m/>
    <m/>
    <m/>
    <m/>
    <m/>
    <m/>
    <m/>
    <n v="2"/>
    <m/>
    <n v="4"/>
    <n v="40000"/>
    <m/>
    <m/>
  </r>
  <r>
    <x v="5"/>
    <n v="30"/>
    <m/>
    <m/>
    <m/>
    <m/>
    <m/>
    <n v="1"/>
    <m/>
    <m/>
    <m/>
    <m/>
    <n v="2"/>
    <m/>
    <m/>
    <m/>
    <m/>
    <m/>
    <m/>
    <n v="3"/>
    <n v="25000"/>
    <m/>
    <m/>
  </r>
  <r>
    <x v="6"/>
    <n v="31"/>
    <m/>
    <m/>
    <n v="1"/>
    <m/>
    <m/>
    <n v="1"/>
    <m/>
    <m/>
    <m/>
    <m/>
    <n v="1"/>
    <m/>
    <m/>
    <m/>
    <m/>
    <m/>
    <m/>
    <n v="3"/>
    <n v="49000"/>
    <m/>
    <m/>
  </r>
  <r>
    <x v="6"/>
    <n v="32"/>
    <m/>
    <m/>
    <m/>
    <m/>
    <m/>
    <m/>
    <m/>
    <m/>
    <m/>
    <n v="2"/>
    <m/>
    <m/>
    <m/>
    <m/>
    <m/>
    <m/>
    <m/>
    <n v="2"/>
    <n v="39800"/>
    <m/>
    <m/>
  </r>
  <r>
    <x v="6"/>
    <n v="33"/>
    <m/>
    <m/>
    <m/>
    <m/>
    <m/>
    <m/>
    <m/>
    <m/>
    <m/>
    <n v="1"/>
    <n v="1"/>
    <m/>
    <m/>
    <m/>
    <m/>
    <m/>
    <m/>
    <n v="2"/>
    <n v="27400"/>
    <m/>
    <m/>
  </r>
  <r>
    <x v="7"/>
    <m/>
    <m/>
    <m/>
    <m/>
    <m/>
    <m/>
    <m/>
    <m/>
    <m/>
    <n v="3"/>
    <m/>
    <m/>
    <m/>
    <m/>
    <m/>
    <m/>
    <m/>
    <m/>
    <n v="3"/>
    <n v="30000"/>
    <m/>
    <m/>
  </r>
  <r>
    <x v="8"/>
    <m/>
    <m/>
    <n v="1"/>
    <m/>
    <m/>
    <m/>
    <m/>
    <m/>
    <m/>
    <n v="1"/>
    <m/>
    <m/>
    <m/>
    <m/>
    <m/>
    <m/>
    <m/>
    <m/>
    <n v="2"/>
    <n v="35400"/>
    <m/>
    <m/>
  </r>
  <r>
    <x v="8"/>
    <m/>
    <m/>
    <m/>
    <n v="1"/>
    <m/>
    <m/>
    <m/>
    <m/>
    <m/>
    <m/>
    <m/>
    <m/>
    <m/>
    <m/>
    <m/>
    <m/>
    <m/>
    <m/>
    <n v="1"/>
    <n v="31500"/>
    <m/>
    <m/>
  </r>
  <r>
    <x v="7"/>
    <m/>
    <m/>
    <m/>
    <m/>
    <m/>
    <m/>
    <n v="1"/>
    <m/>
    <m/>
    <n v="2"/>
    <m/>
    <m/>
    <m/>
    <m/>
    <m/>
    <m/>
    <m/>
    <m/>
    <n v="3"/>
    <n v="30000"/>
    <m/>
    <m/>
  </r>
  <r>
    <x v="7"/>
    <m/>
    <m/>
    <m/>
    <m/>
    <m/>
    <m/>
    <n v="2"/>
    <m/>
    <m/>
    <n v="1"/>
    <m/>
    <m/>
    <m/>
    <m/>
    <m/>
    <m/>
    <m/>
    <m/>
    <n v="3"/>
    <n v="30000"/>
    <m/>
    <m/>
  </r>
  <r>
    <x v="9"/>
    <m/>
    <m/>
    <m/>
    <m/>
    <m/>
    <m/>
    <m/>
    <m/>
    <m/>
    <n v="2"/>
    <m/>
    <n v="1"/>
    <m/>
    <m/>
    <m/>
    <m/>
    <n v="1"/>
    <m/>
    <n v="4"/>
    <n v="37500"/>
    <m/>
    <m/>
  </r>
  <r>
    <x v="9"/>
    <m/>
    <m/>
    <m/>
    <m/>
    <m/>
    <m/>
    <n v="1"/>
    <m/>
    <m/>
    <m/>
    <m/>
    <n v="1"/>
    <m/>
    <m/>
    <m/>
    <m/>
    <n v="1"/>
    <m/>
    <n v="3"/>
    <n v="27500"/>
    <m/>
    <m/>
  </r>
  <r>
    <x v="9"/>
    <m/>
    <m/>
    <m/>
    <m/>
    <m/>
    <m/>
    <n v="1"/>
    <m/>
    <m/>
    <n v="2"/>
    <m/>
    <m/>
    <m/>
    <m/>
    <m/>
    <m/>
    <m/>
    <m/>
    <n v="3"/>
    <n v="30000"/>
    <m/>
    <m/>
  </r>
  <r>
    <x v="9"/>
    <m/>
    <m/>
    <m/>
    <m/>
    <m/>
    <m/>
    <m/>
    <m/>
    <m/>
    <m/>
    <n v="2"/>
    <m/>
    <m/>
    <m/>
    <m/>
    <m/>
    <m/>
    <m/>
    <n v="2"/>
    <n v="39800"/>
    <m/>
    <m/>
  </r>
  <r>
    <x v="9"/>
    <m/>
    <m/>
    <m/>
    <m/>
    <m/>
    <m/>
    <n v="1"/>
    <m/>
    <m/>
    <m/>
    <m/>
    <n v="2"/>
    <n v="0.5"/>
    <m/>
    <m/>
    <n v="1"/>
    <m/>
    <m/>
    <n v="4.5"/>
    <n v="53000"/>
    <m/>
    <m/>
  </r>
  <r>
    <x v="8"/>
    <m/>
    <m/>
    <m/>
    <m/>
    <n v="1"/>
    <m/>
    <m/>
    <m/>
    <m/>
    <m/>
    <m/>
    <m/>
    <m/>
    <m/>
    <m/>
    <m/>
    <m/>
    <m/>
    <n v="1"/>
    <n v="81200"/>
    <m/>
    <m/>
  </r>
  <r>
    <x v="9"/>
    <m/>
    <m/>
    <m/>
    <m/>
    <m/>
    <m/>
    <n v="1"/>
    <m/>
    <m/>
    <m/>
    <n v="1"/>
    <m/>
    <m/>
    <m/>
    <m/>
    <m/>
    <m/>
    <m/>
    <n v="2"/>
    <n v="29900"/>
    <m/>
    <m/>
  </r>
  <r>
    <x v="7"/>
    <m/>
    <m/>
    <m/>
    <m/>
    <n v="2"/>
    <m/>
    <m/>
    <m/>
    <m/>
    <n v="1"/>
    <m/>
    <m/>
    <m/>
    <m/>
    <m/>
    <m/>
    <m/>
    <m/>
    <n v="3"/>
    <n v="172400"/>
    <m/>
    <m/>
  </r>
  <r>
    <x v="10"/>
    <n v="34"/>
    <m/>
    <n v="1"/>
    <m/>
    <m/>
    <m/>
    <m/>
    <m/>
    <m/>
    <n v="1"/>
    <m/>
    <m/>
    <m/>
    <n v="1"/>
    <m/>
    <m/>
    <m/>
    <m/>
    <n v="3"/>
    <n v="51400"/>
    <m/>
    <m/>
  </r>
  <r>
    <x v="10"/>
    <n v="35"/>
    <m/>
    <m/>
    <m/>
    <m/>
    <m/>
    <m/>
    <m/>
    <m/>
    <m/>
    <n v="3"/>
    <m/>
    <m/>
    <m/>
    <m/>
    <m/>
    <m/>
    <m/>
    <n v="3"/>
    <n v="59700"/>
    <m/>
    <m/>
  </r>
  <r>
    <x v="10"/>
    <n v="36"/>
    <m/>
    <m/>
    <m/>
    <m/>
    <m/>
    <m/>
    <m/>
    <m/>
    <m/>
    <m/>
    <m/>
    <n v="1"/>
    <m/>
    <m/>
    <n v="1"/>
    <m/>
    <m/>
    <n v="2"/>
    <n v="40000"/>
    <m/>
    <m/>
  </r>
  <r>
    <x v="10"/>
    <n v="37"/>
    <m/>
    <m/>
    <m/>
    <m/>
    <m/>
    <m/>
    <m/>
    <m/>
    <n v="1"/>
    <m/>
    <m/>
    <n v="1"/>
    <m/>
    <m/>
    <n v="1"/>
    <m/>
    <m/>
    <n v="3"/>
    <n v="50000"/>
    <m/>
    <m/>
  </r>
  <r>
    <x v="11"/>
    <n v="38"/>
    <m/>
    <m/>
    <m/>
    <m/>
    <m/>
    <m/>
    <m/>
    <m/>
    <n v="1"/>
    <m/>
    <m/>
    <m/>
    <m/>
    <m/>
    <n v="1"/>
    <m/>
    <m/>
    <n v="2"/>
    <n v="26000"/>
    <m/>
    <m/>
  </r>
  <r>
    <x v="11"/>
    <n v="39"/>
    <m/>
    <m/>
    <m/>
    <m/>
    <m/>
    <m/>
    <m/>
    <m/>
    <m/>
    <m/>
    <m/>
    <n v="1"/>
    <n v="1"/>
    <m/>
    <n v="1"/>
    <n v="1"/>
    <m/>
    <n v="4"/>
    <n v="66000"/>
    <m/>
    <m/>
  </r>
  <r>
    <x v="11"/>
    <n v="40"/>
    <m/>
    <m/>
    <m/>
    <m/>
    <m/>
    <n v="1"/>
    <m/>
    <m/>
    <n v="1"/>
    <m/>
    <n v="1"/>
    <m/>
    <m/>
    <m/>
    <m/>
    <m/>
    <m/>
    <n v="3"/>
    <n v="27500"/>
    <m/>
    <m/>
  </r>
  <r>
    <x v="11"/>
    <n v="41"/>
    <m/>
    <m/>
    <m/>
    <m/>
    <m/>
    <m/>
    <m/>
    <m/>
    <m/>
    <m/>
    <m/>
    <m/>
    <n v="1"/>
    <m/>
    <n v="1"/>
    <m/>
    <m/>
    <n v="2"/>
    <n v="32000"/>
    <m/>
    <m/>
  </r>
  <r>
    <x v="11"/>
    <n v="42"/>
    <m/>
    <m/>
    <m/>
    <m/>
    <m/>
    <m/>
    <m/>
    <m/>
    <n v="1"/>
    <m/>
    <m/>
    <n v="1"/>
    <m/>
    <m/>
    <m/>
    <m/>
    <m/>
    <n v="2"/>
    <n v="38800"/>
    <m/>
    <m/>
  </r>
  <r>
    <x v="12"/>
    <n v="43"/>
    <m/>
    <m/>
    <m/>
    <m/>
    <m/>
    <m/>
    <m/>
    <m/>
    <m/>
    <m/>
    <m/>
    <n v="1"/>
    <m/>
    <m/>
    <n v="1"/>
    <m/>
    <m/>
    <n v="2"/>
    <n v="40000"/>
    <m/>
    <m/>
  </r>
  <r>
    <x v="12"/>
    <n v="44"/>
    <m/>
    <m/>
    <m/>
    <m/>
    <m/>
    <n v="1"/>
    <m/>
    <m/>
    <m/>
    <m/>
    <m/>
    <m/>
    <m/>
    <n v="1"/>
    <m/>
    <m/>
    <m/>
    <n v="2"/>
    <n v="35000"/>
    <m/>
    <m/>
  </r>
  <r>
    <x v="12"/>
    <n v="45"/>
    <m/>
    <m/>
    <m/>
    <m/>
    <m/>
    <n v="1"/>
    <m/>
    <m/>
    <n v="1"/>
    <m/>
    <n v="1"/>
    <m/>
    <m/>
    <m/>
    <m/>
    <m/>
    <m/>
    <n v="3"/>
    <n v="27500"/>
    <m/>
    <m/>
  </r>
  <r>
    <x v="12"/>
    <n v="46"/>
    <m/>
    <m/>
    <m/>
    <m/>
    <m/>
    <m/>
    <m/>
    <m/>
    <m/>
    <m/>
    <m/>
    <n v="1"/>
    <n v="1"/>
    <m/>
    <m/>
    <m/>
    <m/>
    <n v="2"/>
    <n v="40000"/>
    <m/>
    <m/>
  </r>
  <r>
    <x v="13"/>
    <n v="47"/>
    <m/>
    <m/>
    <m/>
    <m/>
    <m/>
    <m/>
    <m/>
    <m/>
    <n v="1"/>
    <m/>
    <m/>
    <m/>
    <m/>
    <m/>
    <n v="1"/>
    <n v="1"/>
    <m/>
    <n v="3"/>
    <n v="36000"/>
    <m/>
    <m/>
  </r>
  <r>
    <x v="13"/>
    <n v="48"/>
    <m/>
    <m/>
    <n v="2"/>
    <m/>
    <m/>
    <m/>
    <m/>
    <m/>
    <m/>
    <m/>
    <m/>
    <m/>
    <m/>
    <m/>
    <m/>
    <m/>
    <m/>
    <n v="2"/>
    <n v="63000"/>
    <m/>
    <m/>
  </r>
  <r>
    <x v="13"/>
    <n v="49"/>
    <m/>
    <m/>
    <m/>
    <m/>
    <m/>
    <m/>
    <m/>
    <m/>
    <m/>
    <m/>
    <m/>
    <m/>
    <m/>
    <m/>
    <m/>
    <m/>
    <m/>
    <n v="0"/>
    <n v="30000"/>
    <m/>
    <m/>
  </r>
  <r>
    <x v="13"/>
    <n v="50"/>
    <m/>
    <m/>
    <m/>
    <m/>
    <m/>
    <m/>
    <m/>
    <m/>
    <m/>
    <m/>
    <n v="1"/>
    <n v="1"/>
    <m/>
    <m/>
    <m/>
    <m/>
    <m/>
    <n v="2"/>
    <n v="31500"/>
    <m/>
    <m/>
  </r>
  <r>
    <x v="13"/>
    <n v="51"/>
    <m/>
    <m/>
    <m/>
    <m/>
    <m/>
    <n v="1"/>
    <m/>
    <m/>
    <n v="1"/>
    <m/>
    <n v="1"/>
    <m/>
    <m/>
    <m/>
    <m/>
    <m/>
    <m/>
    <n v="3"/>
    <n v="27500"/>
    <m/>
    <m/>
  </r>
  <r>
    <x v="13"/>
    <n v="52"/>
    <m/>
    <m/>
    <m/>
    <m/>
    <m/>
    <m/>
    <m/>
    <m/>
    <m/>
    <n v="2"/>
    <m/>
    <m/>
    <m/>
    <m/>
    <m/>
    <m/>
    <m/>
    <n v="2"/>
    <n v="39800"/>
    <m/>
    <m/>
  </r>
  <r>
    <x v="14"/>
    <n v="53"/>
    <m/>
    <m/>
    <m/>
    <m/>
    <m/>
    <m/>
    <m/>
    <m/>
    <n v="1"/>
    <m/>
    <n v="1"/>
    <m/>
    <n v="1"/>
    <m/>
    <m/>
    <m/>
    <m/>
    <n v="3"/>
    <n v="33500"/>
    <m/>
    <m/>
  </r>
  <r>
    <x v="14"/>
    <n v="54"/>
    <m/>
    <m/>
    <m/>
    <m/>
    <m/>
    <n v="1"/>
    <m/>
    <m/>
    <m/>
    <m/>
    <m/>
    <m/>
    <m/>
    <m/>
    <n v="1"/>
    <m/>
    <m/>
    <n v="2"/>
    <n v="26000"/>
    <m/>
    <m/>
  </r>
  <r>
    <x v="15"/>
    <n v="55"/>
    <m/>
    <m/>
    <m/>
    <m/>
    <m/>
    <m/>
    <m/>
    <m/>
    <m/>
    <m/>
    <m/>
    <n v="1"/>
    <m/>
    <m/>
    <m/>
    <n v="1"/>
    <m/>
    <n v="2"/>
    <n v="34000"/>
    <m/>
    <m/>
  </r>
  <r>
    <x v="15"/>
    <n v="56"/>
    <m/>
    <m/>
    <m/>
    <m/>
    <m/>
    <m/>
    <m/>
    <m/>
    <n v="1"/>
    <m/>
    <n v="1"/>
    <m/>
    <m/>
    <m/>
    <n v="1"/>
    <m/>
    <m/>
    <n v="3"/>
    <n v="33500"/>
    <m/>
    <m/>
  </r>
  <r>
    <x v="15"/>
    <n v="57"/>
    <m/>
    <m/>
    <m/>
    <m/>
    <m/>
    <n v="1"/>
    <m/>
    <m/>
    <m/>
    <n v="1"/>
    <m/>
    <m/>
    <m/>
    <m/>
    <m/>
    <n v="1"/>
    <m/>
    <n v="3"/>
    <n v="39900"/>
    <m/>
    <m/>
  </r>
  <r>
    <x v="16"/>
    <n v="58"/>
    <m/>
    <m/>
    <m/>
    <m/>
    <m/>
    <n v="1"/>
    <m/>
    <m/>
    <m/>
    <n v="1"/>
    <n v="1"/>
    <m/>
    <m/>
    <n v="1"/>
    <n v="1"/>
    <m/>
    <m/>
    <n v="5"/>
    <n v="78400"/>
    <m/>
    <m/>
  </r>
  <r>
    <x v="16"/>
    <n v="59"/>
    <m/>
    <m/>
    <m/>
    <m/>
    <m/>
    <n v="1"/>
    <m/>
    <m/>
    <m/>
    <n v="1"/>
    <n v="1"/>
    <m/>
    <n v="1"/>
    <m/>
    <m/>
    <m/>
    <m/>
    <n v="4"/>
    <n v="53400"/>
    <m/>
    <m/>
  </r>
  <r>
    <x v="16"/>
    <n v="60"/>
    <m/>
    <m/>
    <m/>
    <m/>
    <m/>
    <m/>
    <m/>
    <m/>
    <m/>
    <m/>
    <m/>
    <n v="1"/>
    <n v="0.5"/>
    <m/>
    <m/>
    <n v="1"/>
    <m/>
    <n v="2.5"/>
    <n v="42000"/>
    <m/>
    <m/>
  </r>
  <r>
    <x v="16"/>
    <n v="61"/>
    <m/>
    <m/>
    <m/>
    <m/>
    <m/>
    <m/>
    <m/>
    <m/>
    <n v="1"/>
    <n v="1"/>
    <m/>
    <m/>
    <m/>
    <m/>
    <m/>
    <m/>
    <m/>
    <n v="2"/>
    <n v="44900"/>
    <m/>
    <m/>
  </r>
  <r>
    <x v="16"/>
    <n v="62"/>
    <m/>
    <m/>
    <m/>
    <m/>
    <m/>
    <n v="1"/>
    <m/>
    <m/>
    <m/>
    <m/>
    <n v="2"/>
    <m/>
    <m/>
    <m/>
    <m/>
    <m/>
    <m/>
    <n v="3"/>
    <n v="25000"/>
    <m/>
    <m/>
  </r>
  <r>
    <x v="16"/>
    <n v="63"/>
    <m/>
    <m/>
    <m/>
    <m/>
    <m/>
    <n v="1"/>
    <m/>
    <m/>
    <m/>
    <n v="1"/>
    <n v="1"/>
    <m/>
    <m/>
    <m/>
    <m/>
    <m/>
    <m/>
    <n v="3"/>
    <n v="37400"/>
    <m/>
    <m/>
  </r>
  <r>
    <x v="17"/>
    <n v="64"/>
    <m/>
    <m/>
    <m/>
    <m/>
    <m/>
    <n v="1"/>
    <m/>
    <m/>
    <n v="1"/>
    <m/>
    <n v="1"/>
    <n v="1"/>
    <m/>
    <m/>
    <m/>
    <m/>
    <m/>
    <n v="4"/>
    <n v="51500"/>
    <s v="Efectivo"/>
    <m/>
  </r>
  <r>
    <x v="17"/>
    <n v="65"/>
    <m/>
    <m/>
    <m/>
    <n v="1"/>
    <n v="1"/>
    <m/>
    <m/>
    <m/>
    <m/>
    <m/>
    <m/>
    <m/>
    <m/>
    <m/>
    <m/>
    <m/>
    <m/>
    <n v="2"/>
    <n v="115100"/>
    <s v="Webpay"/>
    <m/>
  </r>
  <r>
    <x v="17"/>
    <n v="66"/>
    <m/>
    <m/>
    <m/>
    <m/>
    <m/>
    <n v="1"/>
    <m/>
    <m/>
    <n v="1"/>
    <m/>
    <n v="1"/>
    <m/>
    <m/>
    <m/>
    <m/>
    <m/>
    <m/>
    <n v="3"/>
    <n v="27500"/>
    <s v="Debito"/>
    <m/>
  </r>
  <r>
    <x v="17"/>
    <n v="67"/>
    <m/>
    <m/>
    <m/>
    <m/>
    <m/>
    <n v="1"/>
    <m/>
    <m/>
    <n v="1"/>
    <m/>
    <n v="1"/>
    <m/>
    <m/>
    <m/>
    <m/>
    <m/>
    <m/>
    <n v="3"/>
    <n v="27500"/>
    <s v="Transferencia"/>
    <m/>
  </r>
  <r>
    <x v="17"/>
    <n v="68"/>
    <m/>
    <n v="1"/>
    <m/>
    <m/>
    <m/>
    <m/>
    <m/>
    <m/>
    <m/>
    <m/>
    <m/>
    <m/>
    <m/>
    <m/>
    <m/>
    <m/>
    <m/>
    <n v="1"/>
    <n v="25400"/>
    <s v="Webpay"/>
    <m/>
  </r>
  <r>
    <x v="17"/>
    <n v="69"/>
    <m/>
    <m/>
    <n v="1"/>
    <m/>
    <m/>
    <n v="1"/>
    <m/>
    <m/>
    <n v="1"/>
    <m/>
    <n v="1"/>
    <m/>
    <m/>
    <m/>
    <m/>
    <m/>
    <m/>
    <n v="4"/>
    <n v="59000"/>
    <s v="Webpay"/>
    <m/>
  </r>
  <r>
    <x v="17"/>
    <n v="70"/>
    <m/>
    <m/>
    <n v="1"/>
    <m/>
    <m/>
    <m/>
    <m/>
    <m/>
    <m/>
    <m/>
    <m/>
    <m/>
    <m/>
    <m/>
    <m/>
    <m/>
    <m/>
    <n v="1"/>
    <n v="31500"/>
    <s v="Debito"/>
    <m/>
  </r>
  <r>
    <x v="17"/>
    <n v="71"/>
    <m/>
    <m/>
    <m/>
    <m/>
    <m/>
    <m/>
    <m/>
    <m/>
    <m/>
    <m/>
    <n v="4"/>
    <m/>
    <m/>
    <m/>
    <m/>
    <m/>
    <m/>
    <n v="4"/>
    <n v="30000"/>
    <s v="Efectivo"/>
    <m/>
  </r>
  <r>
    <x v="18"/>
    <n v="72"/>
    <m/>
    <m/>
    <m/>
    <m/>
    <m/>
    <m/>
    <m/>
    <m/>
    <n v="3"/>
    <m/>
    <m/>
    <n v="1"/>
    <m/>
    <m/>
    <m/>
    <m/>
    <m/>
    <n v="4"/>
    <n v="54000"/>
    <s v="Debito"/>
    <m/>
  </r>
  <r>
    <x v="18"/>
    <n v="73"/>
    <m/>
    <m/>
    <m/>
    <n v="1"/>
    <m/>
    <m/>
    <m/>
    <m/>
    <m/>
    <m/>
    <m/>
    <m/>
    <m/>
    <m/>
    <m/>
    <m/>
    <m/>
    <n v="1"/>
    <n v="81200"/>
    <s v="Debito"/>
    <m/>
  </r>
  <r>
    <x v="18"/>
    <n v="74"/>
    <m/>
    <m/>
    <m/>
    <m/>
    <m/>
    <m/>
    <m/>
    <m/>
    <n v="1"/>
    <n v="1"/>
    <n v="1"/>
    <m/>
    <m/>
    <m/>
    <m/>
    <m/>
    <m/>
    <n v="3"/>
    <n v="37400"/>
    <s v="Debito"/>
    <m/>
  </r>
  <r>
    <x v="18"/>
    <n v="75"/>
    <m/>
    <m/>
    <m/>
    <m/>
    <m/>
    <m/>
    <m/>
    <m/>
    <m/>
    <n v="5"/>
    <m/>
    <m/>
    <m/>
    <m/>
    <m/>
    <m/>
    <m/>
    <n v="5"/>
    <n v="99500"/>
    <s v="Efectivo"/>
    <m/>
  </r>
  <r>
    <x v="18"/>
    <n v="76"/>
    <m/>
    <n v="1"/>
    <m/>
    <m/>
    <m/>
    <n v="1"/>
    <m/>
    <m/>
    <n v="1"/>
    <m/>
    <n v="1"/>
    <m/>
    <m/>
    <m/>
    <m/>
    <m/>
    <m/>
    <n v="4"/>
    <n v="52900"/>
    <s v="Efectivo"/>
    <m/>
  </r>
  <r>
    <x v="18"/>
    <n v="77"/>
    <m/>
    <m/>
    <m/>
    <n v="1"/>
    <m/>
    <m/>
    <m/>
    <m/>
    <m/>
    <m/>
    <m/>
    <m/>
    <m/>
    <m/>
    <m/>
    <m/>
    <m/>
    <n v="1"/>
    <n v="80000"/>
    <s v="Debito"/>
    <m/>
  </r>
  <r>
    <x v="18"/>
    <n v="78"/>
    <m/>
    <m/>
    <m/>
    <m/>
    <m/>
    <n v="1"/>
    <m/>
    <m/>
    <m/>
    <m/>
    <n v="2"/>
    <m/>
    <m/>
    <m/>
    <m/>
    <m/>
    <m/>
    <n v="3"/>
    <n v="25000"/>
    <s v="Efectivo"/>
    <m/>
  </r>
  <r>
    <x v="18"/>
    <n v="79"/>
    <m/>
    <m/>
    <m/>
    <m/>
    <m/>
    <n v="1"/>
    <m/>
    <m/>
    <n v="1"/>
    <m/>
    <n v="1"/>
    <m/>
    <m/>
    <m/>
    <m/>
    <m/>
    <m/>
    <n v="3"/>
    <n v="27500"/>
    <s v="Debito"/>
    <m/>
  </r>
  <r>
    <x v="18"/>
    <n v="80"/>
    <m/>
    <m/>
    <m/>
    <m/>
    <m/>
    <n v="1"/>
    <m/>
    <m/>
    <m/>
    <m/>
    <n v="1"/>
    <m/>
    <m/>
    <m/>
    <m/>
    <m/>
    <m/>
    <n v="2"/>
    <n v="17500"/>
    <s v="Transferencia"/>
    <m/>
  </r>
  <r>
    <x v="18"/>
    <n v="81"/>
    <m/>
    <n v="1"/>
    <m/>
    <m/>
    <m/>
    <m/>
    <m/>
    <m/>
    <m/>
    <m/>
    <m/>
    <m/>
    <m/>
    <m/>
    <m/>
    <m/>
    <m/>
    <n v="1"/>
    <n v="25400"/>
    <s v="Debito"/>
    <m/>
  </r>
  <r>
    <x v="18"/>
    <n v="82"/>
    <m/>
    <m/>
    <m/>
    <m/>
    <m/>
    <m/>
    <m/>
    <m/>
    <m/>
    <n v="18"/>
    <m/>
    <m/>
    <m/>
    <m/>
    <m/>
    <m/>
    <m/>
    <n v="18"/>
    <n v="358200"/>
    <s v="Debito"/>
    <m/>
  </r>
  <r>
    <x v="19"/>
    <n v="83"/>
    <m/>
    <m/>
    <m/>
    <m/>
    <m/>
    <m/>
    <m/>
    <m/>
    <n v="1"/>
    <n v="1"/>
    <m/>
    <m/>
    <m/>
    <m/>
    <m/>
    <m/>
    <m/>
    <n v="2"/>
    <n v="29900"/>
    <s v="Debito"/>
    <m/>
  </r>
  <r>
    <x v="19"/>
    <n v="84"/>
    <m/>
    <m/>
    <m/>
    <n v="1"/>
    <m/>
    <m/>
    <m/>
    <m/>
    <n v="2"/>
    <m/>
    <m/>
    <m/>
    <m/>
    <m/>
    <m/>
    <m/>
    <m/>
    <n v="3"/>
    <n v="101200"/>
    <s v="Debito"/>
    <m/>
  </r>
  <r>
    <x v="19"/>
    <n v="85"/>
    <m/>
    <n v="1"/>
    <m/>
    <m/>
    <m/>
    <m/>
    <m/>
    <m/>
    <m/>
    <m/>
    <m/>
    <m/>
    <m/>
    <m/>
    <m/>
    <m/>
    <m/>
    <n v="1"/>
    <n v="25400"/>
    <s v="Efectivo"/>
    <m/>
  </r>
  <r>
    <x v="19"/>
    <n v="86"/>
    <m/>
    <m/>
    <m/>
    <m/>
    <m/>
    <m/>
    <m/>
    <m/>
    <n v="1"/>
    <m/>
    <m/>
    <n v="1"/>
    <n v="1"/>
    <m/>
    <m/>
    <n v="1"/>
    <m/>
    <n v="4"/>
    <n v="60000"/>
    <s v="Webpay"/>
    <m/>
  </r>
  <r>
    <x v="19"/>
    <n v="87"/>
    <m/>
    <m/>
    <m/>
    <m/>
    <m/>
    <m/>
    <m/>
    <m/>
    <m/>
    <n v="2"/>
    <m/>
    <m/>
    <m/>
    <m/>
    <m/>
    <m/>
    <m/>
    <n v="2"/>
    <n v="39800"/>
    <s v="Transferencia"/>
    <m/>
  </r>
  <r>
    <x v="20"/>
    <n v="88"/>
    <m/>
    <m/>
    <m/>
    <m/>
    <m/>
    <m/>
    <m/>
    <m/>
    <m/>
    <m/>
    <m/>
    <n v="1"/>
    <n v="1"/>
    <m/>
    <m/>
    <m/>
    <m/>
    <n v="2"/>
    <n v="40000"/>
    <s v="Debito"/>
    <m/>
  </r>
  <r>
    <x v="20"/>
    <n v="89"/>
    <m/>
    <m/>
    <m/>
    <n v="1"/>
    <n v="1"/>
    <m/>
    <m/>
    <m/>
    <m/>
    <m/>
    <m/>
    <m/>
    <m/>
    <m/>
    <m/>
    <m/>
    <m/>
    <n v="2"/>
    <n v="115100"/>
    <s v="Webpay"/>
    <m/>
  </r>
  <r>
    <x v="20"/>
    <n v="90"/>
    <m/>
    <m/>
    <m/>
    <m/>
    <m/>
    <n v="1"/>
    <m/>
    <m/>
    <n v="1"/>
    <m/>
    <m/>
    <m/>
    <m/>
    <m/>
    <m/>
    <n v="1"/>
    <m/>
    <n v="3"/>
    <n v="30000"/>
    <s v="Debito"/>
    <m/>
  </r>
  <r>
    <x v="20"/>
    <n v="91"/>
    <m/>
    <m/>
    <m/>
    <n v="1"/>
    <m/>
    <m/>
    <m/>
    <m/>
    <m/>
    <m/>
    <m/>
    <m/>
    <m/>
    <m/>
    <m/>
    <m/>
    <m/>
    <n v="1"/>
    <n v="81200"/>
    <s v="Webpay"/>
    <m/>
  </r>
  <r>
    <x v="21"/>
    <n v="92"/>
    <m/>
    <m/>
    <n v="1"/>
    <n v="1"/>
    <m/>
    <n v="1"/>
    <m/>
    <m/>
    <n v="1"/>
    <m/>
    <m/>
    <m/>
    <m/>
    <m/>
    <m/>
    <m/>
    <m/>
    <n v="4"/>
    <n v="132700"/>
    <s v="Webpay"/>
    <m/>
  </r>
  <r>
    <x v="21"/>
    <n v="93"/>
    <m/>
    <n v="1"/>
    <m/>
    <m/>
    <m/>
    <m/>
    <m/>
    <m/>
    <n v="1"/>
    <m/>
    <m/>
    <m/>
    <m/>
    <m/>
    <m/>
    <m/>
    <m/>
    <n v="2"/>
    <n v="35400"/>
    <s v="Transferencia"/>
    <m/>
  </r>
  <r>
    <x v="21"/>
    <n v="94"/>
    <m/>
    <m/>
    <n v="1"/>
    <m/>
    <m/>
    <m/>
    <m/>
    <m/>
    <m/>
    <m/>
    <m/>
    <m/>
    <m/>
    <m/>
    <m/>
    <m/>
    <m/>
    <n v="1"/>
    <n v="31500"/>
    <s v="Transferencia"/>
    <m/>
  </r>
  <r>
    <x v="21"/>
    <n v="95"/>
    <m/>
    <m/>
    <m/>
    <m/>
    <m/>
    <m/>
    <m/>
    <m/>
    <m/>
    <m/>
    <m/>
    <m/>
    <m/>
    <m/>
    <m/>
    <n v="3"/>
    <m/>
    <n v="3"/>
    <n v="30000"/>
    <s v="Efectivo"/>
    <m/>
  </r>
  <r>
    <x v="21"/>
    <n v="96"/>
    <m/>
    <m/>
    <m/>
    <m/>
    <m/>
    <n v="1"/>
    <m/>
    <m/>
    <m/>
    <m/>
    <m/>
    <n v="1"/>
    <m/>
    <m/>
    <m/>
    <m/>
    <m/>
    <n v="2"/>
    <n v="34000"/>
    <s v="Debito"/>
    <m/>
  </r>
  <r>
    <x v="21"/>
    <n v="97"/>
    <m/>
    <m/>
    <m/>
    <n v="1"/>
    <m/>
    <n v="1"/>
    <m/>
    <m/>
    <m/>
    <m/>
    <m/>
    <m/>
    <m/>
    <m/>
    <m/>
    <m/>
    <m/>
    <n v="2"/>
    <n v="91200"/>
    <s v="Debito"/>
    <m/>
  </r>
  <r>
    <x v="22"/>
    <n v="98"/>
    <m/>
    <m/>
    <n v="1"/>
    <m/>
    <m/>
    <m/>
    <m/>
    <m/>
    <m/>
    <m/>
    <m/>
    <m/>
    <m/>
    <m/>
    <m/>
    <m/>
    <m/>
    <n v="1"/>
    <n v="31500"/>
    <s v="Webpay"/>
    <s v="Feña"/>
  </r>
  <r>
    <x v="22"/>
    <n v="99"/>
    <m/>
    <n v="1"/>
    <m/>
    <m/>
    <m/>
    <m/>
    <m/>
    <m/>
    <m/>
    <m/>
    <m/>
    <m/>
    <m/>
    <m/>
    <m/>
    <m/>
    <m/>
    <n v="1"/>
    <n v="25400"/>
    <s v="Webpay"/>
    <s v="-"/>
  </r>
  <r>
    <x v="22"/>
    <n v="100"/>
    <m/>
    <n v="1"/>
    <m/>
    <m/>
    <m/>
    <m/>
    <m/>
    <m/>
    <m/>
    <m/>
    <m/>
    <m/>
    <m/>
    <m/>
    <m/>
    <m/>
    <m/>
    <n v="1"/>
    <n v="25400"/>
    <s v="Debito"/>
    <s v="-"/>
  </r>
  <r>
    <x v="22"/>
    <n v="101"/>
    <m/>
    <m/>
    <m/>
    <m/>
    <m/>
    <n v="2"/>
    <m/>
    <m/>
    <m/>
    <m/>
    <m/>
    <n v="1"/>
    <m/>
    <m/>
    <m/>
    <m/>
    <m/>
    <n v="3"/>
    <n v="44000"/>
    <s v="Efectivo"/>
    <s v="-"/>
  </r>
  <r>
    <x v="23"/>
    <n v="102"/>
    <m/>
    <m/>
    <m/>
    <m/>
    <m/>
    <n v="1"/>
    <m/>
    <m/>
    <n v="1"/>
    <m/>
    <m/>
    <m/>
    <m/>
    <m/>
    <m/>
    <n v="1"/>
    <m/>
    <n v="3"/>
    <n v="30000"/>
    <s v="Efectivo"/>
    <s v="Feña"/>
  </r>
  <r>
    <x v="23"/>
    <n v="103"/>
    <m/>
    <m/>
    <m/>
    <m/>
    <m/>
    <m/>
    <m/>
    <m/>
    <m/>
    <n v="2"/>
    <m/>
    <m/>
    <m/>
    <m/>
    <m/>
    <m/>
    <m/>
    <n v="2"/>
    <n v="39800"/>
    <s v="Efectivo"/>
    <s v="-"/>
  </r>
  <r>
    <x v="23"/>
    <n v="104"/>
    <m/>
    <m/>
    <m/>
    <m/>
    <m/>
    <m/>
    <m/>
    <m/>
    <n v="3"/>
    <m/>
    <m/>
    <m/>
    <m/>
    <m/>
    <m/>
    <m/>
    <m/>
    <n v="3"/>
    <n v="30000"/>
    <s v="Webpay"/>
    <s v="-"/>
  </r>
  <r>
    <x v="23"/>
    <n v="105"/>
    <m/>
    <m/>
    <m/>
    <m/>
    <m/>
    <n v="2"/>
    <m/>
    <m/>
    <n v="1"/>
    <m/>
    <m/>
    <m/>
    <m/>
    <m/>
    <m/>
    <m/>
    <m/>
    <n v="3"/>
    <n v="30000"/>
    <s v="Webpay"/>
    <s v="-"/>
  </r>
  <r>
    <x v="24"/>
    <n v="106"/>
    <m/>
    <m/>
    <m/>
    <m/>
    <m/>
    <n v="1"/>
    <m/>
    <m/>
    <n v="1"/>
    <m/>
    <m/>
    <m/>
    <n v="1"/>
    <m/>
    <m/>
    <n v="1"/>
    <m/>
    <n v="4"/>
    <n v="46000"/>
    <s v="Efectivo"/>
    <s v="Andy"/>
  </r>
  <r>
    <x v="24"/>
    <n v="107"/>
    <m/>
    <m/>
    <m/>
    <m/>
    <m/>
    <m/>
    <m/>
    <m/>
    <m/>
    <m/>
    <m/>
    <n v="1"/>
    <m/>
    <m/>
    <m/>
    <n v="1"/>
    <m/>
    <n v="2"/>
    <n v="34000"/>
    <s v="Webpay"/>
    <s v="-"/>
  </r>
  <r>
    <x v="24"/>
    <n v="108"/>
    <m/>
    <m/>
    <m/>
    <m/>
    <m/>
    <m/>
    <m/>
    <m/>
    <n v="5"/>
    <m/>
    <m/>
    <m/>
    <m/>
    <m/>
    <m/>
    <m/>
    <m/>
    <n v="5"/>
    <n v="50000"/>
    <s v="Efectivo"/>
    <s v="-"/>
  </r>
  <r>
    <x v="25"/>
    <n v="109"/>
    <m/>
    <m/>
    <m/>
    <m/>
    <m/>
    <m/>
    <m/>
    <m/>
    <n v="1"/>
    <m/>
    <m/>
    <n v="2"/>
    <m/>
    <m/>
    <m/>
    <n v="2"/>
    <m/>
    <n v="5"/>
    <n v="78000"/>
    <s v="Efectivo"/>
    <s v="Raul"/>
  </r>
  <r>
    <x v="25"/>
    <n v="110"/>
    <m/>
    <m/>
    <m/>
    <m/>
    <m/>
    <m/>
    <m/>
    <m/>
    <m/>
    <n v="2"/>
    <m/>
    <m/>
    <m/>
    <m/>
    <m/>
    <m/>
    <m/>
    <n v="2"/>
    <n v="39800"/>
    <s v="Efectivo"/>
    <s v="-"/>
  </r>
  <r>
    <x v="25"/>
    <n v="111"/>
    <m/>
    <m/>
    <m/>
    <m/>
    <m/>
    <n v="3"/>
    <m/>
    <m/>
    <m/>
    <m/>
    <m/>
    <m/>
    <m/>
    <m/>
    <m/>
    <m/>
    <m/>
    <n v="3"/>
    <n v="30000"/>
    <s v="Efectivo"/>
    <s v="-"/>
  </r>
  <r>
    <x v="25"/>
    <n v="112"/>
    <m/>
    <m/>
    <n v="1"/>
    <m/>
    <m/>
    <n v="1"/>
    <m/>
    <m/>
    <n v="1"/>
    <m/>
    <m/>
    <m/>
    <m/>
    <m/>
    <m/>
    <m/>
    <m/>
    <n v="3"/>
    <n v="51500"/>
    <s v="Debito"/>
    <s v="-"/>
  </r>
  <r>
    <x v="26"/>
    <n v="113"/>
    <m/>
    <m/>
    <n v="1"/>
    <m/>
    <m/>
    <m/>
    <m/>
    <m/>
    <n v="1"/>
    <m/>
    <m/>
    <m/>
    <m/>
    <m/>
    <m/>
    <m/>
    <m/>
    <n v="2"/>
    <n v="41500"/>
    <s v="Efectivo"/>
    <s v="Mauricio"/>
  </r>
  <r>
    <x v="26"/>
    <n v="114"/>
    <m/>
    <m/>
    <m/>
    <m/>
    <m/>
    <m/>
    <m/>
    <m/>
    <n v="0.5"/>
    <m/>
    <m/>
    <n v="1"/>
    <m/>
    <m/>
    <m/>
    <m/>
    <m/>
    <n v="1.5"/>
    <n v="29000"/>
    <s v="Efectivo"/>
    <s v="-"/>
  </r>
  <r>
    <x v="27"/>
    <n v="115"/>
    <m/>
    <m/>
    <m/>
    <m/>
    <m/>
    <n v="1"/>
    <m/>
    <m/>
    <n v="1"/>
    <n v="1"/>
    <m/>
    <m/>
    <m/>
    <m/>
    <m/>
    <m/>
    <m/>
    <n v="3"/>
    <n v="39900"/>
    <s v="Transferencia"/>
    <s v="Raul"/>
  </r>
  <r>
    <x v="27"/>
    <n v="116"/>
    <m/>
    <m/>
    <n v="1"/>
    <m/>
    <m/>
    <m/>
    <m/>
    <m/>
    <m/>
    <m/>
    <m/>
    <m/>
    <m/>
    <m/>
    <m/>
    <m/>
    <m/>
    <n v="1"/>
    <n v="31500"/>
    <s v="Webpay"/>
    <s v="-"/>
  </r>
  <r>
    <x v="27"/>
    <n v="117"/>
    <m/>
    <m/>
    <m/>
    <m/>
    <m/>
    <n v="1"/>
    <m/>
    <m/>
    <n v="1.5"/>
    <m/>
    <m/>
    <m/>
    <m/>
    <m/>
    <m/>
    <m/>
    <m/>
    <n v="2.5"/>
    <n v="25000"/>
    <s v="Debito"/>
    <s v="Retiro"/>
  </r>
  <r>
    <x v="28"/>
    <n v="118"/>
    <m/>
    <m/>
    <m/>
    <m/>
    <m/>
    <n v="1"/>
    <m/>
    <m/>
    <n v="1"/>
    <m/>
    <m/>
    <n v="1"/>
    <n v="1"/>
    <m/>
    <m/>
    <n v="1"/>
    <m/>
    <n v="5"/>
    <n v="70000"/>
    <s v="Debito"/>
    <s v="Feña"/>
  </r>
  <r>
    <x v="28"/>
    <n v="119"/>
    <m/>
    <m/>
    <m/>
    <m/>
    <m/>
    <m/>
    <m/>
    <m/>
    <n v="1"/>
    <m/>
    <m/>
    <m/>
    <m/>
    <m/>
    <m/>
    <n v="2"/>
    <m/>
    <n v="3"/>
    <n v="30000"/>
    <s v="Webpay"/>
    <s v="-"/>
  </r>
  <r>
    <x v="29"/>
    <n v="120"/>
    <m/>
    <m/>
    <m/>
    <n v="1"/>
    <m/>
    <m/>
    <m/>
    <m/>
    <m/>
    <m/>
    <m/>
    <m/>
    <m/>
    <m/>
    <m/>
    <m/>
    <m/>
    <n v="1"/>
    <n v="81200"/>
    <s v="Efectivo"/>
    <m/>
  </r>
  <r>
    <x v="29"/>
    <n v="121"/>
    <m/>
    <m/>
    <n v="1"/>
    <m/>
    <m/>
    <m/>
    <m/>
    <m/>
    <m/>
    <m/>
    <m/>
    <m/>
    <m/>
    <m/>
    <m/>
    <m/>
    <m/>
    <n v="1"/>
    <n v="31500"/>
    <s v="Debito"/>
    <m/>
  </r>
  <r>
    <x v="30"/>
    <n v="122"/>
    <m/>
    <m/>
    <n v="3"/>
    <m/>
    <m/>
    <m/>
    <m/>
    <m/>
    <m/>
    <m/>
    <m/>
    <m/>
    <m/>
    <m/>
    <m/>
    <m/>
    <m/>
    <n v="3"/>
    <n v="94500"/>
    <s v="Transferencia"/>
    <s v="Feña"/>
  </r>
  <r>
    <x v="30"/>
    <n v="123"/>
    <m/>
    <m/>
    <m/>
    <m/>
    <m/>
    <m/>
    <m/>
    <m/>
    <m/>
    <m/>
    <m/>
    <n v="1"/>
    <n v="1"/>
    <m/>
    <m/>
    <n v="1"/>
    <n v="1"/>
    <n v="4"/>
    <n v="64000"/>
    <s v="Webpay"/>
    <s v="-"/>
  </r>
  <r>
    <x v="30"/>
    <n v="124"/>
    <m/>
    <m/>
    <m/>
    <m/>
    <m/>
    <n v="2"/>
    <m/>
    <m/>
    <m/>
    <m/>
    <m/>
    <m/>
    <m/>
    <m/>
    <m/>
    <n v="3"/>
    <m/>
    <n v="5"/>
    <n v="50000"/>
    <s v="Debito"/>
    <s v="Retiro"/>
  </r>
  <r>
    <x v="31"/>
    <n v="125"/>
    <m/>
    <m/>
    <m/>
    <m/>
    <n v="1"/>
    <m/>
    <m/>
    <m/>
    <m/>
    <m/>
    <m/>
    <m/>
    <m/>
    <m/>
    <m/>
    <m/>
    <m/>
    <n v="1"/>
    <n v="33900"/>
    <s v="Transferencia"/>
    <s v="Feña"/>
  </r>
  <r>
    <x v="31"/>
    <n v="126"/>
    <m/>
    <m/>
    <m/>
    <m/>
    <m/>
    <m/>
    <m/>
    <m/>
    <n v="1"/>
    <m/>
    <m/>
    <n v="1"/>
    <m/>
    <m/>
    <m/>
    <m/>
    <n v="1"/>
    <n v="3"/>
    <n v="48000"/>
    <s v="Transferencia"/>
    <s v="-"/>
  </r>
  <r>
    <x v="32"/>
    <n v="127"/>
    <m/>
    <m/>
    <m/>
    <m/>
    <m/>
    <m/>
    <m/>
    <m/>
    <m/>
    <m/>
    <m/>
    <m/>
    <m/>
    <m/>
    <m/>
    <m/>
    <n v="2"/>
    <n v="2"/>
    <n v="28000"/>
    <s v="Webpay"/>
    <s v="Feña"/>
  </r>
  <r>
    <x v="32"/>
    <n v="128"/>
    <m/>
    <m/>
    <m/>
    <m/>
    <m/>
    <m/>
    <m/>
    <m/>
    <n v="0.5"/>
    <m/>
    <m/>
    <n v="1"/>
    <n v="1"/>
    <m/>
    <m/>
    <m/>
    <m/>
    <n v="2.5"/>
    <n v="45000"/>
    <s v="Debito"/>
    <s v="-"/>
  </r>
  <r>
    <x v="32"/>
    <n v="129"/>
    <m/>
    <m/>
    <m/>
    <m/>
    <n v="1"/>
    <m/>
    <m/>
    <m/>
    <m/>
    <m/>
    <m/>
    <m/>
    <m/>
    <m/>
    <m/>
    <m/>
    <m/>
    <n v="1"/>
    <n v="33900"/>
    <s v="Webpay"/>
    <s v="-"/>
  </r>
  <r>
    <x v="32"/>
    <n v="130"/>
    <m/>
    <m/>
    <n v="1"/>
    <m/>
    <m/>
    <m/>
    <m/>
    <m/>
    <m/>
    <m/>
    <m/>
    <m/>
    <m/>
    <m/>
    <m/>
    <m/>
    <m/>
    <n v="1"/>
    <n v="31500"/>
    <s v="Debito"/>
    <s v="-"/>
  </r>
  <r>
    <x v="33"/>
    <n v="131"/>
    <m/>
    <n v="1"/>
    <m/>
    <m/>
    <m/>
    <m/>
    <m/>
    <m/>
    <m/>
    <m/>
    <m/>
    <m/>
    <m/>
    <m/>
    <m/>
    <m/>
    <n v="0.5"/>
    <n v="1.5"/>
    <n v="24000"/>
    <s v="Efectivo"/>
    <s v="Mauricio"/>
  </r>
  <r>
    <x v="34"/>
    <n v="132"/>
    <m/>
    <m/>
    <m/>
    <m/>
    <m/>
    <m/>
    <m/>
    <m/>
    <m/>
    <n v="1"/>
    <m/>
    <m/>
    <m/>
    <m/>
    <m/>
    <m/>
    <m/>
    <n v="1"/>
    <n v="0"/>
    <s v="Regalo"/>
    <s v="Mauricio"/>
  </r>
  <r>
    <x v="35"/>
    <n v="133"/>
    <m/>
    <m/>
    <m/>
    <m/>
    <m/>
    <n v="1"/>
    <m/>
    <m/>
    <n v="1"/>
    <m/>
    <m/>
    <m/>
    <m/>
    <m/>
    <m/>
    <n v="1"/>
    <m/>
    <n v="3"/>
    <n v="30000"/>
    <s v="Transferencia"/>
    <s v="Andy"/>
  </r>
  <r>
    <x v="36"/>
    <n v="134"/>
    <m/>
    <m/>
    <m/>
    <m/>
    <m/>
    <n v="1"/>
    <m/>
    <m/>
    <m/>
    <m/>
    <m/>
    <m/>
    <n v="1"/>
    <m/>
    <m/>
    <m/>
    <m/>
    <n v="2"/>
    <n v="26000"/>
    <s v="Transferencia"/>
    <s v="Feña"/>
  </r>
  <r>
    <x v="36"/>
    <n v="135"/>
    <m/>
    <m/>
    <m/>
    <m/>
    <m/>
    <m/>
    <m/>
    <m/>
    <n v="2.5"/>
    <m/>
    <m/>
    <m/>
    <m/>
    <m/>
    <m/>
    <m/>
    <m/>
    <n v="2.5"/>
    <n v="25000"/>
    <s v="Transferencia"/>
    <s v="-"/>
  </r>
  <r>
    <x v="36"/>
    <n v="136"/>
    <m/>
    <m/>
    <m/>
    <m/>
    <m/>
    <n v="1"/>
    <m/>
    <m/>
    <n v="1"/>
    <m/>
    <m/>
    <m/>
    <m/>
    <m/>
    <m/>
    <m/>
    <n v="1"/>
    <n v="3"/>
    <n v="34000"/>
    <s v="Debito"/>
    <s v="-"/>
  </r>
  <r>
    <x v="36"/>
    <n v="137"/>
    <m/>
    <m/>
    <m/>
    <m/>
    <m/>
    <m/>
    <m/>
    <m/>
    <m/>
    <m/>
    <m/>
    <m/>
    <n v="1"/>
    <m/>
    <m/>
    <m/>
    <n v="1"/>
    <n v="2"/>
    <n v="30000"/>
    <s v="Transferencia"/>
    <s v="-"/>
  </r>
  <r>
    <x v="37"/>
    <n v="138"/>
    <m/>
    <m/>
    <m/>
    <n v="1"/>
    <m/>
    <n v="1"/>
    <m/>
    <m/>
    <m/>
    <m/>
    <m/>
    <m/>
    <m/>
    <m/>
    <m/>
    <m/>
    <m/>
    <n v="2"/>
    <n v="91200"/>
    <s v="Debito"/>
    <s v="Feña"/>
  </r>
  <r>
    <x v="37"/>
    <n v="139"/>
    <m/>
    <m/>
    <m/>
    <m/>
    <m/>
    <m/>
    <m/>
    <m/>
    <m/>
    <n v="2"/>
    <m/>
    <m/>
    <m/>
    <m/>
    <m/>
    <m/>
    <m/>
    <n v="2"/>
    <n v="39800"/>
    <s v="Transferencia"/>
    <s v="-"/>
  </r>
  <r>
    <x v="37"/>
    <n v="140"/>
    <m/>
    <m/>
    <m/>
    <m/>
    <m/>
    <m/>
    <m/>
    <m/>
    <n v="0.1"/>
    <m/>
    <m/>
    <m/>
    <m/>
    <m/>
    <m/>
    <m/>
    <m/>
    <n v="0.1"/>
    <n v="1000"/>
    <s v="Debito"/>
    <s v="-"/>
  </r>
  <r>
    <x v="38"/>
    <n v="141"/>
    <m/>
    <n v="1"/>
    <m/>
    <m/>
    <m/>
    <n v="0.5"/>
    <m/>
    <m/>
    <m/>
    <m/>
    <m/>
    <m/>
    <m/>
    <m/>
    <m/>
    <m/>
    <m/>
    <n v="1.5"/>
    <n v="30400"/>
    <s v="Efectivo"/>
    <s v="Feña"/>
  </r>
  <r>
    <x v="38"/>
    <n v="142"/>
    <m/>
    <m/>
    <m/>
    <n v="1"/>
    <m/>
    <m/>
    <m/>
    <m/>
    <m/>
    <m/>
    <m/>
    <m/>
    <m/>
    <m/>
    <m/>
    <m/>
    <m/>
    <n v="1"/>
    <n v="81200"/>
    <s v="Debito"/>
    <s v="-"/>
  </r>
  <r>
    <x v="38"/>
    <n v="143"/>
    <m/>
    <m/>
    <m/>
    <m/>
    <m/>
    <n v="3"/>
    <m/>
    <m/>
    <n v="2"/>
    <n v="1"/>
    <m/>
    <n v="1"/>
    <m/>
    <m/>
    <m/>
    <m/>
    <m/>
    <n v="7"/>
    <n v="101400"/>
    <s v="Debito"/>
    <s v="-"/>
  </r>
  <r>
    <x v="38"/>
    <n v="144"/>
    <m/>
    <m/>
    <n v="1"/>
    <m/>
    <m/>
    <m/>
    <m/>
    <m/>
    <m/>
    <m/>
    <m/>
    <m/>
    <m/>
    <m/>
    <m/>
    <m/>
    <m/>
    <n v="1"/>
    <n v="31500"/>
    <s v="Efectivo"/>
    <s v="-"/>
  </r>
  <r>
    <x v="39"/>
    <n v="145"/>
    <m/>
    <m/>
    <n v="1"/>
    <m/>
    <m/>
    <m/>
    <m/>
    <m/>
    <m/>
    <m/>
    <m/>
    <m/>
    <m/>
    <m/>
    <m/>
    <m/>
    <m/>
    <n v="1"/>
    <n v="31500"/>
    <s v="Efectivo"/>
    <s v="Feña"/>
  </r>
  <r>
    <x v="39"/>
    <n v="146"/>
    <m/>
    <m/>
    <m/>
    <n v="1"/>
    <m/>
    <m/>
    <m/>
    <m/>
    <m/>
    <m/>
    <m/>
    <m/>
    <m/>
    <m/>
    <m/>
    <m/>
    <m/>
    <n v="1"/>
    <n v="81200"/>
    <s v="Debito"/>
    <s v="-"/>
  </r>
  <r>
    <x v="40"/>
    <n v="147"/>
    <m/>
    <m/>
    <m/>
    <n v="1"/>
    <m/>
    <m/>
    <m/>
    <m/>
    <m/>
    <m/>
    <m/>
    <m/>
    <m/>
    <m/>
    <m/>
    <m/>
    <m/>
    <n v="1"/>
    <n v="81200"/>
    <s v="Webpay"/>
    <s v="Raul"/>
  </r>
  <r>
    <x v="40"/>
    <n v="148"/>
    <m/>
    <n v="1"/>
    <m/>
    <m/>
    <m/>
    <m/>
    <m/>
    <m/>
    <n v="1"/>
    <m/>
    <m/>
    <m/>
    <m/>
    <m/>
    <m/>
    <m/>
    <m/>
    <n v="2"/>
    <n v="35400"/>
    <s v="Transferencia"/>
    <s v="Raul"/>
  </r>
  <r>
    <x v="41"/>
    <n v="149"/>
    <m/>
    <m/>
    <m/>
    <m/>
    <m/>
    <n v="1"/>
    <m/>
    <m/>
    <n v="2"/>
    <m/>
    <m/>
    <m/>
    <m/>
    <m/>
    <m/>
    <m/>
    <m/>
    <n v="3"/>
    <n v="30000"/>
    <s v="Webpay"/>
    <s v="Feña"/>
  </r>
  <r>
    <x v="41"/>
    <n v="150"/>
    <m/>
    <m/>
    <m/>
    <m/>
    <m/>
    <m/>
    <m/>
    <m/>
    <m/>
    <n v="1"/>
    <m/>
    <n v="1"/>
    <m/>
    <m/>
    <m/>
    <m/>
    <n v="1"/>
    <n v="3"/>
    <n v="57900"/>
    <s v="Webpay"/>
    <s v="Feña"/>
  </r>
  <r>
    <x v="41"/>
    <n v="151"/>
    <m/>
    <m/>
    <m/>
    <m/>
    <m/>
    <m/>
    <m/>
    <m/>
    <n v="1"/>
    <m/>
    <m/>
    <n v="1"/>
    <m/>
    <m/>
    <m/>
    <n v="1"/>
    <n v="1"/>
    <n v="4"/>
    <n v="58000"/>
    <s v="Webpay"/>
    <s v="Feña"/>
  </r>
  <r>
    <x v="41"/>
    <n v="152"/>
    <m/>
    <m/>
    <m/>
    <m/>
    <n v="1"/>
    <n v="1"/>
    <m/>
    <m/>
    <n v="4"/>
    <m/>
    <m/>
    <m/>
    <m/>
    <m/>
    <m/>
    <m/>
    <m/>
    <n v="6"/>
    <n v="83900"/>
    <s v="Debito"/>
    <s v="Feña"/>
  </r>
  <r>
    <x v="41"/>
    <n v="153"/>
    <m/>
    <m/>
    <m/>
    <m/>
    <m/>
    <m/>
    <m/>
    <m/>
    <n v="2.5"/>
    <m/>
    <m/>
    <m/>
    <m/>
    <m/>
    <m/>
    <m/>
    <m/>
    <n v="2.5"/>
    <n v="25000"/>
    <s v="Efectivo"/>
    <s v="Feña"/>
  </r>
  <r>
    <x v="41"/>
    <n v="154"/>
    <m/>
    <m/>
    <m/>
    <m/>
    <m/>
    <m/>
    <m/>
    <m/>
    <n v="1"/>
    <m/>
    <m/>
    <n v="1"/>
    <m/>
    <m/>
    <m/>
    <m/>
    <n v="1"/>
    <n v="3"/>
    <n v="48000"/>
    <s v="Debito"/>
    <s v="Feña"/>
  </r>
  <r>
    <x v="42"/>
    <n v="155"/>
    <m/>
    <m/>
    <m/>
    <m/>
    <m/>
    <m/>
    <m/>
    <m/>
    <n v="2"/>
    <m/>
    <m/>
    <m/>
    <n v="0.5"/>
    <m/>
    <m/>
    <n v="1"/>
    <n v="2"/>
    <n v="5.5"/>
    <n v="66000"/>
    <s v="Webpay"/>
    <s v="Feña"/>
  </r>
  <r>
    <x v="42"/>
    <n v="156"/>
    <m/>
    <m/>
    <m/>
    <m/>
    <m/>
    <n v="1"/>
    <m/>
    <m/>
    <n v="2"/>
    <m/>
    <m/>
    <m/>
    <m/>
    <m/>
    <m/>
    <m/>
    <m/>
    <n v="3"/>
    <n v="30000"/>
    <s v="Webpay"/>
    <s v="Feña"/>
  </r>
  <r>
    <x v="42"/>
    <n v="157"/>
    <m/>
    <m/>
    <m/>
    <m/>
    <m/>
    <m/>
    <m/>
    <m/>
    <n v="2"/>
    <m/>
    <m/>
    <m/>
    <m/>
    <m/>
    <m/>
    <m/>
    <n v="1"/>
    <n v="3"/>
    <n v="34000"/>
    <s v="Debito"/>
    <s v="Feña"/>
  </r>
  <r>
    <x v="42"/>
    <n v="158"/>
    <m/>
    <m/>
    <m/>
    <m/>
    <m/>
    <n v="1"/>
    <m/>
    <m/>
    <n v="1"/>
    <m/>
    <m/>
    <m/>
    <m/>
    <m/>
    <m/>
    <n v="1"/>
    <m/>
    <n v="3"/>
    <n v="30000"/>
    <s v="Efectivo"/>
    <s v="Feña"/>
  </r>
  <r>
    <x v="43"/>
    <n v="159"/>
    <m/>
    <n v="1"/>
    <m/>
    <m/>
    <m/>
    <m/>
    <m/>
    <m/>
    <m/>
    <m/>
    <m/>
    <m/>
    <m/>
    <m/>
    <m/>
    <m/>
    <m/>
    <n v="1"/>
    <n v="25400"/>
    <s v="Transferencia"/>
    <s v="Andy"/>
  </r>
  <r>
    <x v="43"/>
    <n v="160"/>
    <m/>
    <m/>
    <m/>
    <m/>
    <m/>
    <m/>
    <m/>
    <m/>
    <n v="1"/>
    <m/>
    <m/>
    <m/>
    <n v="1"/>
    <m/>
    <m/>
    <m/>
    <m/>
    <n v="2"/>
    <n v="26000"/>
    <s v="Transferencia"/>
    <s v="Andy"/>
  </r>
  <r>
    <x v="43"/>
    <n v="161"/>
    <m/>
    <n v="1"/>
    <m/>
    <m/>
    <m/>
    <m/>
    <m/>
    <m/>
    <m/>
    <n v="1"/>
    <m/>
    <m/>
    <m/>
    <m/>
    <m/>
    <m/>
    <m/>
    <n v="2"/>
    <n v="45300"/>
    <s v="Transferencia"/>
    <s v="Andy"/>
  </r>
  <r>
    <x v="44"/>
    <n v="162"/>
    <m/>
    <m/>
    <m/>
    <m/>
    <m/>
    <n v="2"/>
    <m/>
    <m/>
    <m/>
    <m/>
    <n v="2"/>
    <m/>
    <m/>
    <m/>
    <m/>
    <m/>
    <m/>
    <n v="4"/>
    <n v="35000"/>
    <s v="Debito"/>
    <s v="Feña"/>
  </r>
  <r>
    <x v="44"/>
    <n v="163"/>
    <m/>
    <m/>
    <m/>
    <m/>
    <m/>
    <m/>
    <m/>
    <m/>
    <n v="3"/>
    <m/>
    <m/>
    <m/>
    <m/>
    <m/>
    <m/>
    <m/>
    <m/>
    <n v="3"/>
    <n v="30000"/>
    <s v="Webpay"/>
    <s v="Feña"/>
  </r>
  <r>
    <x v="44"/>
    <n v="164"/>
    <m/>
    <m/>
    <m/>
    <m/>
    <m/>
    <m/>
    <m/>
    <m/>
    <m/>
    <m/>
    <m/>
    <m/>
    <m/>
    <m/>
    <m/>
    <m/>
    <m/>
    <n v="0"/>
    <n v="0"/>
    <s v="Debito"/>
    <s v="Feña"/>
  </r>
  <r>
    <x v="45"/>
    <n v="165"/>
    <m/>
    <m/>
    <n v="1"/>
    <m/>
    <m/>
    <m/>
    <m/>
    <m/>
    <m/>
    <m/>
    <m/>
    <m/>
    <m/>
    <m/>
    <m/>
    <m/>
    <m/>
    <n v="1"/>
    <n v="31500"/>
    <s v="Debito"/>
    <s v="Andy"/>
  </r>
  <r>
    <x v="45"/>
    <n v="166"/>
    <m/>
    <n v="1"/>
    <m/>
    <m/>
    <m/>
    <m/>
    <m/>
    <m/>
    <m/>
    <m/>
    <m/>
    <m/>
    <m/>
    <m/>
    <m/>
    <m/>
    <m/>
    <n v="1"/>
    <n v="25400"/>
    <s v="Efectivo"/>
    <s v="Andy"/>
  </r>
  <r>
    <x v="46"/>
    <n v="167"/>
    <m/>
    <m/>
    <m/>
    <m/>
    <m/>
    <m/>
    <m/>
    <m/>
    <n v="1"/>
    <m/>
    <m/>
    <n v="1"/>
    <m/>
    <m/>
    <m/>
    <m/>
    <m/>
    <n v="2"/>
    <n v="34000"/>
    <s v="Webpay"/>
    <s v="Feña"/>
  </r>
  <r>
    <x v="46"/>
    <n v="168"/>
    <m/>
    <m/>
    <m/>
    <m/>
    <m/>
    <n v="2"/>
    <m/>
    <m/>
    <n v="3"/>
    <m/>
    <m/>
    <m/>
    <m/>
    <m/>
    <m/>
    <m/>
    <n v="2"/>
    <n v="7"/>
    <n v="78000"/>
    <s v="Debito"/>
    <s v="Feña"/>
  </r>
  <r>
    <x v="46"/>
    <n v="169"/>
    <m/>
    <m/>
    <m/>
    <m/>
    <m/>
    <m/>
    <m/>
    <m/>
    <n v="0.2"/>
    <m/>
    <m/>
    <m/>
    <m/>
    <m/>
    <m/>
    <m/>
    <m/>
    <n v="0.2"/>
    <n v="2000"/>
    <s v="Debito"/>
    <s v="Retiro"/>
  </r>
  <r>
    <x v="47"/>
    <n v="170"/>
    <m/>
    <m/>
    <m/>
    <m/>
    <m/>
    <m/>
    <m/>
    <m/>
    <n v="2"/>
    <m/>
    <m/>
    <m/>
    <n v="1"/>
    <m/>
    <m/>
    <m/>
    <m/>
    <n v="3"/>
    <n v="36000"/>
    <s v="Webpay"/>
    <s v="Feña"/>
  </r>
  <r>
    <x v="47"/>
    <n v="171"/>
    <m/>
    <m/>
    <m/>
    <m/>
    <m/>
    <n v="2"/>
    <m/>
    <m/>
    <n v="0.5"/>
    <m/>
    <m/>
    <m/>
    <m/>
    <m/>
    <m/>
    <m/>
    <m/>
    <n v="2.5"/>
    <n v="25000"/>
    <s v="Transferencia"/>
    <s v="Feña"/>
  </r>
  <r>
    <x v="47"/>
    <n v="172"/>
    <m/>
    <m/>
    <m/>
    <m/>
    <m/>
    <m/>
    <m/>
    <m/>
    <n v="2"/>
    <m/>
    <m/>
    <n v="1"/>
    <m/>
    <m/>
    <m/>
    <m/>
    <m/>
    <n v="3"/>
    <n v="44000"/>
    <s v="Efectivo"/>
    <s v="Feña"/>
  </r>
  <r>
    <x v="47"/>
    <n v="173"/>
    <m/>
    <m/>
    <n v="1"/>
    <m/>
    <m/>
    <m/>
    <m/>
    <m/>
    <m/>
    <m/>
    <m/>
    <m/>
    <m/>
    <m/>
    <m/>
    <m/>
    <m/>
    <n v="1"/>
    <n v="31500"/>
    <s v="Debito"/>
    <s v="Feña"/>
  </r>
  <r>
    <x v="47"/>
    <n v="174"/>
    <m/>
    <m/>
    <m/>
    <m/>
    <m/>
    <m/>
    <m/>
    <m/>
    <n v="3"/>
    <m/>
    <m/>
    <m/>
    <m/>
    <m/>
    <m/>
    <m/>
    <m/>
    <n v="3"/>
    <n v="30000"/>
    <s v="Efectivo"/>
    <s v="Feña"/>
  </r>
  <r>
    <x v="48"/>
    <n v="175"/>
    <m/>
    <m/>
    <n v="1"/>
    <m/>
    <m/>
    <m/>
    <m/>
    <m/>
    <m/>
    <m/>
    <m/>
    <m/>
    <m/>
    <m/>
    <m/>
    <m/>
    <m/>
    <n v="1"/>
    <n v="31500"/>
    <s v="Debito"/>
    <s v="Feña"/>
  </r>
  <r>
    <x v="48"/>
    <n v="176"/>
    <m/>
    <m/>
    <m/>
    <n v="1"/>
    <n v="1"/>
    <m/>
    <m/>
    <m/>
    <m/>
    <m/>
    <m/>
    <m/>
    <m/>
    <m/>
    <m/>
    <m/>
    <m/>
    <n v="2"/>
    <n v="115100"/>
    <s v="Transferencia"/>
    <s v="Feña"/>
  </r>
  <r>
    <x v="48"/>
    <n v="177"/>
    <m/>
    <m/>
    <n v="2"/>
    <m/>
    <m/>
    <m/>
    <m/>
    <m/>
    <m/>
    <m/>
    <m/>
    <m/>
    <m/>
    <m/>
    <m/>
    <m/>
    <m/>
    <n v="2"/>
    <n v="63000"/>
    <s v="Debito"/>
    <s v="Feña"/>
  </r>
  <r>
    <x v="49"/>
    <n v="178"/>
    <m/>
    <m/>
    <m/>
    <n v="1"/>
    <m/>
    <m/>
    <m/>
    <m/>
    <m/>
    <m/>
    <m/>
    <n v="1"/>
    <m/>
    <m/>
    <m/>
    <m/>
    <m/>
    <n v="2"/>
    <n v="105200"/>
    <s v="Debito"/>
    <s v="Andy"/>
  </r>
  <r>
    <x v="49"/>
    <n v="179"/>
    <m/>
    <m/>
    <n v="1"/>
    <m/>
    <m/>
    <m/>
    <m/>
    <m/>
    <m/>
    <m/>
    <m/>
    <m/>
    <m/>
    <m/>
    <m/>
    <m/>
    <m/>
    <n v="1"/>
    <n v="31500"/>
    <s v="Debito"/>
    <s v="Andy"/>
  </r>
  <r>
    <x v="50"/>
    <n v="180"/>
    <m/>
    <m/>
    <m/>
    <m/>
    <m/>
    <n v="1"/>
    <m/>
    <m/>
    <n v="1"/>
    <m/>
    <m/>
    <n v="1"/>
    <n v="1"/>
    <m/>
    <m/>
    <m/>
    <n v="1"/>
    <n v="5"/>
    <n v="74000"/>
    <s v="Efectivo"/>
    <s v="Andy"/>
  </r>
  <r>
    <x v="50"/>
    <n v="181"/>
    <m/>
    <m/>
    <m/>
    <m/>
    <m/>
    <m/>
    <m/>
    <m/>
    <m/>
    <m/>
    <m/>
    <n v="1"/>
    <m/>
    <m/>
    <m/>
    <m/>
    <m/>
    <n v="1"/>
    <n v="24000"/>
    <s v="Debito"/>
    <s v="Andy"/>
  </r>
  <r>
    <x v="51"/>
    <n v="182"/>
    <m/>
    <m/>
    <m/>
    <n v="1"/>
    <m/>
    <n v="1"/>
    <m/>
    <m/>
    <m/>
    <m/>
    <m/>
    <m/>
    <n v="1"/>
    <m/>
    <m/>
    <m/>
    <m/>
    <n v="3"/>
    <n v="107200"/>
    <s v="Transferencia"/>
    <s v="Feña"/>
  </r>
  <r>
    <x v="51"/>
    <n v="183"/>
    <m/>
    <m/>
    <m/>
    <m/>
    <n v="1"/>
    <m/>
    <m/>
    <m/>
    <m/>
    <m/>
    <m/>
    <m/>
    <m/>
    <m/>
    <m/>
    <m/>
    <m/>
    <n v="1"/>
    <n v="33900"/>
    <s v="Webpay"/>
    <s v="Andy"/>
  </r>
  <r>
    <x v="51"/>
    <n v="184"/>
    <m/>
    <m/>
    <m/>
    <m/>
    <m/>
    <m/>
    <m/>
    <m/>
    <m/>
    <m/>
    <m/>
    <m/>
    <m/>
    <m/>
    <m/>
    <m/>
    <m/>
    <n v="0"/>
    <n v="25000"/>
    <s v="Debito"/>
    <s v="Andy"/>
  </r>
  <r>
    <x v="52"/>
    <n v="185"/>
    <m/>
    <m/>
    <m/>
    <m/>
    <m/>
    <n v="1"/>
    <m/>
    <m/>
    <m/>
    <m/>
    <m/>
    <m/>
    <m/>
    <m/>
    <m/>
    <n v="1"/>
    <n v="1"/>
    <n v="3"/>
    <n v="34000"/>
    <s v="Webpay"/>
    <s v="Feña"/>
  </r>
  <r>
    <x v="52"/>
    <n v="186"/>
    <m/>
    <m/>
    <m/>
    <n v="1"/>
    <m/>
    <m/>
    <m/>
    <m/>
    <m/>
    <m/>
    <m/>
    <m/>
    <m/>
    <m/>
    <m/>
    <m/>
    <m/>
    <n v="1"/>
    <n v="81200"/>
    <s v="Webpay"/>
    <s v="Feña"/>
  </r>
  <r>
    <x v="52"/>
    <n v="187"/>
    <m/>
    <n v="4"/>
    <m/>
    <m/>
    <m/>
    <m/>
    <m/>
    <m/>
    <m/>
    <m/>
    <m/>
    <m/>
    <m/>
    <m/>
    <m/>
    <m/>
    <m/>
    <n v="4"/>
    <n v="101600"/>
    <s v="Efectivo"/>
    <s v="Feña"/>
  </r>
  <r>
    <x v="52"/>
    <n v="188"/>
    <m/>
    <m/>
    <m/>
    <m/>
    <m/>
    <n v="1"/>
    <m/>
    <m/>
    <m/>
    <m/>
    <m/>
    <m/>
    <m/>
    <m/>
    <m/>
    <m/>
    <n v="1"/>
    <n v="2"/>
    <n v="34000"/>
    <s v="Efectivo"/>
    <s v="Feña"/>
  </r>
  <r>
    <x v="53"/>
    <n v="189"/>
    <m/>
    <m/>
    <m/>
    <m/>
    <m/>
    <m/>
    <m/>
    <m/>
    <m/>
    <m/>
    <m/>
    <n v="1"/>
    <m/>
    <m/>
    <m/>
    <m/>
    <m/>
    <n v="1"/>
    <n v="34000"/>
    <s v="Debito"/>
    <s v="Feña"/>
  </r>
  <r>
    <x v="53"/>
    <n v="190"/>
    <m/>
    <m/>
    <m/>
    <n v="1"/>
    <m/>
    <m/>
    <m/>
    <m/>
    <m/>
    <m/>
    <m/>
    <m/>
    <m/>
    <m/>
    <m/>
    <m/>
    <m/>
    <n v="1"/>
    <n v="81200"/>
    <s v="Debito"/>
    <s v="Feña"/>
  </r>
  <r>
    <x v="54"/>
    <n v="191"/>
    <m/>
    <m/>
    <m/>
    <m/>
    <m/>
    <n v="1"/>
    <m/>
    <m/>
    <m/>
    <m/>
    <m/>
    <n v="1"/>
    <n v="0.65"/>
    <m/>
    <m/>
    <m/>
    <n v="1"/>
    <n v="3.65"/>
    <n v="58400"/>
    <s v="Debito"/>
    <s v="Feña"/>
  </r>
  <r>
    <x v="54"/>
    <n v="192"/>
    <m/>
    <m/>
    <m/>
    <m/>
    <m/>
    <m/>
    <m/>
    <m/>
    <m/>
    <m/>
    <m/>
    <m/>
    <m/>
    <m/>
    <m/>
    <m/>
    <m/>
    <n v="0"/>
    <n v="25000"/>
    <s v="Debito"/>
    <s v="Feña"/>
  </r>
  <r>
    <x v="55"/>
    <n v="193"/>
    <m/>
    <m/>
    <n v="1"/>
    <m/>
    <m/>
    <m/>
    <m/>
    <m/>
    <m/>
    <m/>
    <m/>
    <m/>
    <m/>
    <m/>
    <m/>
    <m/>
    <n v="1"/>
    <n v="2"/>
    <n v="45500"/>
    <s v="Webpay"/>
    <s v="Feña"/>
  </r>
  <r>
    <x v="55"/>
    <n v="194"/>
    <m/>
    <m/>
    <m/>
    <m/>
    <m/>
    <m/>
    <m/>
    <m/>
    <m/>
    <m/>
    <m/>
    <n v="1"/>
    <n v="1"/>
    <m/>
    <m/>
    <m/>
    <m/>
    <n v="2"/>
    <n v="50000"/>
    <s v="Webpay"/>
    <s v="Feña"/>
  </r>
  <r>
    <x v="55"/>
    <n v="195"/>
    <m/>
    <m/>
    <m/>
    <m/>
    <m/>
    <m/>
    <m/>
    <m/>
    <m/>
    <m/>
    <m/>
    <n v="1"/>
    <m/>
    <m/>
    <m/>
    <m/>
    <m/>
    <n v="1"/>
    <n v="29000"/>
    <s v="Efectivo"/>
    <s v="Feña"/>
  </r>
  <r>
    <x v="55"/>
    <n v="196"/>
    <m/>
    <m/>
    <m/>
    <m/>
    <m/>
    <m/>
    <m/>
    <m/>
    <m/>
    <m/>
    <m/>
    <n v="1"/>
    <m/>
    <m/>
    <m/>
    <m/>
    <m/>
    <n v="1"/>
    <n v="29000"/>
    <s v="Debito"/>
    <s v="Feña"/>
  </r>
  <r>
    <x v="55"/>
    <n v="197"/>
    <m/>
    <m/>
    <m/>
    <m/>
    <m/>
    <m/>
    <m/>
    <m/>
    <m/>
    <m/>
    <m/>
    <m/>
    <m/>
    <m/>
    <m/>
    <m/>
    <m/>
    <n v="0"/>
    <n v="80000"/>
    <s v="Debito"/>
    <s v="Feña"/>
  </r>
  <r>
    <x v="56"/>
    <n v="198"/>
    <m/>
    <m/>
    <m/>
    <m/>
    <m/>
    <m/>
    <m/>
    <m/>
    <m/>
    <m/>
    <m/>
    <m/>
    <m/>
    <m/>
    <m/>
    <m/>
    <m/>
    <n v="0"/>
    <n v="40000"/>
    <s v="Webpay"/>
    <s v="Feña"/>
  </r>
  <r>
    <x v="56"/>
    <n v="199"/>
    <m/>
    <m/>
    <m/>
    <n v="1"/>
    <m/>
    <m/>
    <m/>
    <m/>
    <m/>
    <m/>
    <m/>
    <n v="1"/>
    <m/>
    <m/>
    <m/>
    <m/>
    <m/>
    <n v="2"/>
    <n v="105200"/>
    <s v="Efectivo"/>
    <s v="Feña"/>
  </r>
  <r>
    <x v="57"/>
    <n v="200"/>
    <m/>
    <m/>
    <n v="1"/>
    <m/>
    <m/>
    <m/>
    <m/>
    <m/>
    <m/>
    <m/>
    <m/>
    <m/>
    <m/>
    <m/>
    <m/>
    <m/>
    <m/>
    <n v="1"/>
    <n v="31500"/>
    <s v="Efectivo"/>
    <s v="Feña"/>
  </r>
  <r>
    <x v="57"/>
    <n v="201"/>
    <m/>
    <m/>
    <m/>
    <m/>
    <m/>
    <m/>
    <m/>
    <m/>
    <m/>
    <m/>
    <m/>
    <m/>
    <m/>
    <m/>
    <m/>
    <m/>
    <m/>
    <n v="0"/>
    <n v="85000"/>
    <s v="Transferencia"/>
    <s v="Feña"/>
  </r>
  <r>
    <x v="58"/>
    <n v="202"/>
    <m/>
    <m/>
    <m/>
    <m/>
    <m/>
    <n v="1"/>
    <m/>
    <m/>
    <m/>
    <m/>
    <n v="2"/>
    <m/>
    <m/>
    <m/>
    <m/>
    <m/>
    <m/>
    <n v="3"/>
    <n v="25000"/>
    <s v="Efectivo"/>
    <s v="Jorge"/>
  </r>
  <r>
    <x v="58"/>
    <n v="203"/>
    <m/>
    <m/>
    <n v="15"/>
    <m/>
    <m/>
    <m/>
    <m/>
    <m/>
    <m/>
    <m/>
    <m/>
    <m/>
    <m/>
    <m/>
    <m/>
    <m/>
    <m/>
    <n v="15"/>
    <n v="472500"/>
    <s v="Transferencia"/>
    <s v="Feña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8">
  <r>
    <d v="2025-09-09T00:00:00"/>
    <n v="1"/>
    <m/>
    <m/>
    <m/>
    <m/>
    <m/>
    <n v="1"/>
    <m/>
    <m/>
    <n v="1"/>
    <m/>
    <n v="1"/>
    <n v="1"/>
    <m/>
    <m/>
    <m/>
    <m/>
    <m/>
    <n v="4"/>
    <n v="51500"/>
  </r>
  <r>
    <d v="2025-09-09T00:00:00"/>
    <n v="2"/>
    <m/>
    <n v="1"/>
    <m/>
    <m/>
    <m/>
    <m/>
    <m/>
    <m/>
    <n v="2"/>
    <m/>
    <m/>
    <m/>
    <m/>
    <m/>
    <m/>
    <m/>
    <m/>
    <n v="3"/>
    <n v="45400"/>
  </r>
  <r>
    <d v="2025-09-09T00:00:00"/>
    <n v="3"/>
    <m/>
    <m/>
    <m/>
    <m/>
    <m/>
    <m/>
    <m/>
    <m/>
    <m/>
    <n v="1"/>
    <n v="2"/>
    <m/>
    <m/>
    <m/>
    <m/>
    <m/>
    <m/>
    <n v="3"/>
    <n v="34900"/>
  </r>
  <r>
    <d v="2025-09-09T00:00:00"/>
    <n v="4"/>
    <m/>
    <m/>
    <m/>
    <m/>
    <m/>
    <m/>
    <m/>
    <m/>
    <m/>
    <m/>
    <m/>
    <n v="1"/>
    <m/>
    <m/>
    <m/>
    <m/>
    <m/>
    <n v="1"/>
    <n v="24000"/>
  </r>
  <r>
    <d v="2025-09-09T00:00:00"/>
    <n v="5"/>
    <m/>
    <m/>
    <m/>
    <m/>
    <n v="1"/>
    <n v="1"/>
    <m/>
    <m/>
    <n v="1"/>
    <m/>
    <n v="1"/>
    <m/>
    <m/>
    <m/>
    <n v="1"/>
    <m/>
    <m/>
    <n v="5"/>
    <n v="77400"/>
  </r>
  <r>
    <d v="2025-09-09T00:00:00"/>
    <n v="6"/>
    <m/>
    <m/>
    <m/>
    <m/>
    <m/>
    <m/>
    <m/>
    <m/>
    <m/>
    <n v="4"/>
    <m/>
    <m/>
    <m/>
    <m/>
    <m/>
    <m/>
    <m/>
    <n v="4"/>
    <n v="79600"/>
  </r>
  <r>
    <d v="2025-09-11T00:00:00"/>
    <n v="7"/>
    <m/>
    <m/>
    <m/>
    <m/>
    <m/>
    <m/>
    <m/>
    <m/>
    <n v="2"/>
    <m/>
    <m/>
    <n v="1"/>
    <m/>
    <m/>
    <n v="1"/>
    <m/>
    <m/>
    <n v="4"/>
    <n v="60000"/>
  </r>
  <r>
    <d v="2025-09-11T00:00:00"/>
    <n v="8"/>
    <m/>
    <m/>
    <m/>
    <m/>
    <m/>
    <m/>
    <m/>
    <m/>
    <m/>
    <m/>
    <n v="1"/>
    <n v="1"/>
    <m/>
    <m/>
    <n v="1"/>
    <m/>
    <m/>
    <n v="3"/>
    <n v="47500"/>
  </r>
  <r>
    <d v="2025-09-11T00:00:00"/>
    <n v="9"/>
    <m/>
    <m/>
    <m/>
    <m/>
    <m/>
    <n v="6"/>
    <m/>
    <m/>
    <m/>
    <m/>
    <n v="10"/>
    <m/>
    <m/>
    <n v="1"/>
    <m/>
    <n v="1"/>
    <m/>
    <n v="18"/>
    <n v="170000"/>
  </r>
  <r>
    <d v="2025-09-12T00:00:00"/>
    <n v="10"/>
    <m/>
    <m/>
    <m/>
    <m/>
    <n v="1"/>
    <m/>
    <m/>
    <m/>
    <m/>
    <m/>
    <m/>
    <m/>
    <m/>
    <m/>
    <m/>
    <m/>
    <m/>
    <n v="1"/>
    <n v="33900"/>
  </r>
  <r>
    <d v="2025-09-12T00:00:00"/>
    <n v="11"/>
    <m/>
    <m/>
    <m/>
    <m/>
    <m/>
    <m/>
    <m/>
    <m/>
    <m/>
    <m/>
    <m/>
    <n v="1"/>
    <m/>
    <m/>
    <m/>
    <n v="1"/>
    <m/>
    <n v="2"/>
    <n v="34000"/>
  </r>
  <r>
    <d v="2025-09-12T00:00:00"/>
    <n v="12"/>
    <m/>
    <m/>
    <m/>
    <m/>
    <m/>
    <n v="1"/>
    <m/>
    <m/>
    <m/>
    <m/>
    <n v="2"/>
    <m/>
    <m/>
    <n v="1"/>
    <m/>
    <m/>
    <m/>
    <n v="4"/>
    <n v="99000"/>
  </r>
  <r>
    <d v="2025-09-12T00:00:00"/>
    <n v="13"/>
    <m/>
    <m/>
    <m/>
    <m/>
    <m/>
    <n v="1"/>
    <m/>
    <m/>
    <n v="1"/>
    <m/>
    <m/>
    <m/>
    <n v="1"/>
    <m/>
    <m/>
    <m/>
    <m/>
    <n v="3"/>
    <n v="36000"/>
  </r>
  <r>
    <d v="2025-09-12T00:00:00"/>
    <n v="14"/>
    <m/>
    <m/>
    <m/>
    <m/>
    <m/>
    <m/>
    <m/>
    <m/>
    <m/>
    <n v="2"/>
    <m/>
    <m/>
    <m/>
    <m/>
    <m/>
    <m/>
    <m/>
    <n v="2"/>
    <n v="127880"/>
  </r>
  <r>
    <d v="2025-09-12T00:00:00"/>
    <n v="15"/>
    <m/>
    <m/>
    <m/>
    <m/>
    <m/>
    <m/>
    <n v="1"/>
    <m/>
    <m/>
    <n v="1"/>
    <m/>
    <m/>
    <m/>
    <m/>
    <m/>
    <m/>
    <m/>
    <n v="2"/>
    <n v="34900"/>
  </r>
  <r>
    <d v="2025-09-12T00:00:00"/>
    <n v="16"/>
    <m/>
    <m/>
    <m/>
    <n v="1"/>
    <m/>
    <m/>
    <m/>
    <m/>
    <m/>
    <m/>
    <m/>
    <m/>
    <m/>
    <m/>
    <m/>
    <m/>
    <m/>
    <n v="1"/>
    <n v="80000"/>
  </r>
  <r>
    <d v="2025-09-12T00:00:00"/>
    <n v="17"/>
    <m/>
    <m/>
    <m/>
    <m/>
    <m/>
    <m/>
    <m/>
    <m/>
    <m/>
    <n v="1"/>
    <m/>
    <n v="1"/>
    <m/>
    <m/>
    <m/>
    <m/>
    <m/>
    <n v="2"/>
    <n v="43900"/>
  </r>
  <r>
    <d v="2025-09-12T00:00:00"/>
    <n v="18"/>
    <m/>
    <m/>
    <m/>
    <m/>
    <m/>
    <m/>
    <m/>
    <m/>
    <n v="1"/>
    <m/>
    <m/>
    <m/>
    <m/>
    <m/>
    <n v="1"/>
    <m/>
    <m/>
    <n v="2"/>
    <n v="26000"/>
  </r>
  <r>
    <d v="2025-09-13T00:00:00"/>
    <n v="19"/>
    <m/>
    <m/>
    <m/>
    <m/>
    <m/>
    <m/>
    <m/>
    <m/>
    <m/>
    <m/>
    <n v="1"/>
    <n v="1"/>
    <m/>
    <m/>
    <m/>
    <m/>
    <m/>
    <n v="2"/>
    <n v="31500"/>
  </r>
  <r>
    <d v="2025-09-13T00:00:00"/>
    <n v="20"/>
    <m/>
    <m/>
    <m/>
    <m/>
    <m/>
    <n v="2"/>
    <m/>
    <m/>
    <n v="1"/>
    <m/>
    <n v="2"/>
    <m/>
    <m/>
    <m/>
    <m/>
    <m/>
    <m/>
    <n v="5"/>
    <n v="45000"/>
  </r>
  <r>
    <d v="2025-09-13T00:00:00"/>
    <n v="21"/>
    <m/>
    <m/>
    <m/>
    <m/>
    <m/>
    <n v="1"/>
    <m/>
    <m/>
    <n v="1"/>
    <m/>
    <m/>
    <m/>
    <n v="1"/>
    <m/>
    <n v="1"/>
    <m/>
    <m/>
    <n v="4"/>
    <n v="52000"/>
  </r>
  <r>
    <d v="2025-09-14T00:00:00"/>
    <n v="22"/>
    <m/>
    <m/>
    <m/>
    <m/>
    <m/>
    <n v="1"/>
    <m/>
    <m/>
    <n v="2"/>
    <m/>
    <n v="1"/>
    <m/>
    <m/>
    <m/>
    <m/>
    <m/>
    <m/>
    <n v="4"/>
    <n v="37500"/>
  </r>
  <r>
    <d v="2025-09-14T00:00:00"/>
    <n v="23"/>
    <m/>
    <m/>
    <n v="1"/>
    <m/>
    <n v="1"/>
    <m/>
    <m/>
    <m/>
    <m/>
    <m/>
    <m/>
    <m/>
    <m/>
    <m/>
    <m/>
    <m/>
    <m/>
    <n v="2"/>
    <n v="65400"/>
  </r>
  <r>
    <d v="2025-09-14T00:00:00"/>
    <n v="24"/>
    <m/>
    <m/>
    <n v="1"/>
    <m/>
    <m/>
    <m/>
    <m/>
    <m/>
    <n v="1"/>
    <m/>
    <m/>
    <m/>
    <m/>
    <m/>
    <m/>
    <m/>
    <m/>
    <n v="2"/>
    <n v="41500"/>
  </r>
  <r>
    <d v="2025-09-16T00:00:00"/>
    <n v="25"/>
    <m/>
    <m/>
    <m/>
    <n v="1"/>
    <m/>
    <m/>
    <m/>
    <m/>
    <m/>
    <m/>
    <m/>
    <m/>
    <m/>
    <m/>
    <m/>
    <m/>
    <m/>
    <n v="1"/>
    <n v="80000"/>
  </r>
  <r>
    <d v="2025-09-16T00:00:00"/>
    <n v="26"/>
    <m/>
    <m/>
    <m/>
    <m/>
    <m/>
    <n v="1"/>
    <m/>
    <m/>
    <m/>
    <m/>
    <n v="4"/>
    <m/>
    <m/>
    <m/>
    <m/>
    <m/>
    <m/>
    <n v="5"/>
    <n v="40000"/>
  </r>
  <r>
    <d v="2025-09-16T00:00:00"/>
    <n v="27"/>
    <m/>
    <m/>
    <n v="1"/>
    <m/>
    <m/>
    <m/>
    <m/>
    <m/>
    <m/>
    <m/>
    <m/>
    <m/>
    <m/>
    <m/>
    <m/>
    <m/>
    <m/>
    <n v="1"/>
    <n v="31500"/>
  </r>
  <r>
    <d v="2025-09-16T00:00:00"/>
    <n v="28"/>
    <m/>
    <m/>
    <n v="1"/>
    <m/>
    <m/>
    <m/>
    <m/>
    <m/>
    <m/>
    <m/>
    <m/>
    <m/>
    <m/>
    <m/>
    <m/>
    <m/>
    <m/>
    <n v="1"/>
    <n v="31500"/>
  </r>
  <r>
    <d v="2025-09-16T00:00:00"/>
    <n v="29"/>
    <m/>
    <m/>
    <m/>
    <m/>
    <m/>
    <n v="2"/>
    <m/>
    <m/>
    <m/>
    <m/>
    <m/>
    <m/>
    <m/>
    <m/>
    <m/>
    <n v="2"/>
    <m/>
    <n v="4"/>
    <n v="40000"/>
  </r>
  <r>
    <d v="2025-09-16T00:00:00"/>
    <n v="30"/>
    <m/>
    <m/>
    <m/>
    <m/>
    <m/>
    <n v="1"/>
    <m/>
    <m/>
    <m/>
    <m/>
    <n v="2"/>
    <m/>
    <m/>
    <m/>
    <m/>
    <m/>
    <m/>
    <n v="3"/>
    <n v="25000"/>
  </r>
  <r>
    <d v="2025-09-17T00:00:00"/>
    <n v="31"/>
    <m/>
    <m/>
    <n v="1"/>
    <m/>
    <m/>
    <n v="1"/>
    <m/>
    <m/>
    <m/>
    <m/>
    <n v="1"/>
    <m/>
    <m/>
    <m/>
    <m/>
    <m/>
    <m/>
    <n v="3"/>
    <n v="49000"/>
  </r>
  <r>
    <d v="2025-09-17T00:00:00"/>
    <n v="32"/>
    <m/>
    <m/>
    <m/>
    <m/>
    <m/>
    <m/>
    <m/>
    <m/>
    <m/>
    <n v="2"/>
    <m/>
    <m/>
    <m/>
    <m/>
    <m/>
    <m/>
    <m/>
    <n v="2"/>
    <n v="39800"/>
  </r>
  <r>
    <d v="2025-09-17T00:00:00"/>
    <n v="33"/>
    <m/>
    <m/>
    <m/>
    <m/>
    <m/>
    <m/>
    <m/>
    <m/>
    <m/>
    <n v="1"/>
    <n v="1"/>
    <m/>
    <m/>
    <m/>
    <m/>
    <m/>
    <m/>
    <n v="2"/>
    <n v="27400"/>
  </r>
  <r>
    <d v="2025-09-02T00:00:00"/>
    <m/>
    <m/>
    <m/>
    <m/>
    <m/>
    <m/>
    <m/>
    <m/>
    <m/>
    <n v="3"/>
    <m/>
    <m/>
    <m/>
    <m/>
    <m/>
    <m/>
    <m/>
    <m/>
    <n v="3"/>
    <n v="30000"/>
  </r>
  <r>
    <d v="2025-09-04T00:00:00"/>
    <m/>
    <m/>
    <n v="1"/>
    <m/>
    <m/>
    <m/>
    <m/>
    <m/>
    <m/>
    <n v="1"/>
    <m/>
    <m/>
    <m/>
    <m/>
    <m/>
    <m/>
    <m/>
    <m/>
    <n v="2"/>
    <n v="35400"/>
  </r>
  <r>
    <d v="2025-09-04T00:00:00"/>
    <m/>
    <m/>
    <m/>
    <n v="1"/>
    <m/>
    <m/>
    <m/>
    <m/>
    <m/>
    <m/>
    <m/>
    <m/>
    <m/>
    <m/>
    <m/>
    <m/>
    <m/>
    <m/>
    <n v="1"/>
    <n v="31500"/>
  </r>
  <r>
    <d v="2025-09-02T00:00:00"/>
    <m/>
    <m/>
    <m/>
    <m/>
    <m/>
    <m/>
    <n v="1"/>
    <m/>
    <m/>
    <n v="2"/>
    <m/>
    <m/>
    <m/>
    <m/>
    <m/>
    <m/>
    <m/>
    <m/>
    <n v="3"/>
    <n v="30000"/>
  </r>
  <r>
    <d v="2025-09-02T00:00:00"/>
    <m/>
    <m/>
    <m/>
    <m/>
    <m/>
    <m/>
    <n v="2"/>
    <m/>
    <m/>
    <n v="1"/>
    <m/>
    <m/>
    <m/>
    <m/>
    <m/>
    <m/>
    <m/>
    <m/>
    <n v="3"/>
    <n v="30000"/>
  </r>
  <r>
    <d v="2025-09-06T00:00:00"/>
    <m/>
    <m/>
    <m/>
    <m/>
    <m/>
    <m/>
    <m/>
    <m/>
    <m/>
    <n v="2"/>
    <m/>
    <n v="1"/>
    <m/>
    <m/>
    <m/>
    <m/>
    <n v="1"/>
    <m/>
    <n v="4"/>
    <n v="37500"/>
  </r>
  <r>
    <d v="2025-09-06T00:00:00"/>
    <m/>
    <m/>
    <m/>
    <m/>
    <m/>
    <m/>
    <n v="1"/>
    <m/>
    <m/>
    <m/>
    <m/>
    <n v="1"/>
    <m/>
    <m/>
    <m/>
    <m/>
    <n v="1"/>
    <m/>
    <n v="3"/>
    <n v="27500"/>
  </r>
  <r>
    <d v="2025-09-06T00:00:00"/>
    <m/>
    <m/>
    <m/>
    <m/>
    <m/>
    <m/>
    <n v="1"/>
    <m/>
    <m/>
    <n v="2"/>
    <m/>
    <m/>
    <m/>
    <m/>
    <m/>
    <m/>
    <m/>
    <m/>
    <n v="3"/>
    <n v="30000"/>
  </r>
  <r>
    <d v="2025-09-06T00:00:00"/>
    <m/>
    <m/>
    <m/>
    <m/>
    <m/>
    <m/>
    <m/>
    <m/>
    <m/>
    <m/>
    <n v="2"/>
    <m/>
    <m/>
    <m/>
    <m/>
    <m/>
    <m/>
    <m/>
    <n v="2"/>
    <n v="39800"/>
  </r>
  <r>
    <d v="2025-09-06T00:00:00"/>
    <m/>
    <m/>
    <m/>
    <m/>
    <m/>
    <m/>
    <n v="1"/>
    <m/>
    <m/>
    <m/>
    <m/>
    <n v="2"/>
    <n v="0.5"/>
    <m/>
    <m/>
    <n v="1"/>
    <m/>
    <m/>
    <n v="4.5"/>
    <n v="53000"/>
  </r>
  <r>
    <d v="2025-09-04T00:00:00"/>
    <m/>
    <m/>
    <m/>
    <m/>
    <n v="1"/>
    <m/>
    <m/>
    <m/>
    <m/>
    <m/>
    <m/>
    <m/>
    <m/>
    <m/>
    <m/>
    <m/>
    <m/>
    <m/>
    <n v="1"/>
    <n v="81200"/>
  </r>
  <r>
    <d v="2025-09-06T00:00:00"/>
    <m/>
    <m/>
    <m/>
    <m/>
    <m/>
    <m/>
    <n v="1"/>
    <m/>
    <m/>
    <m/>
    <n v="1"/>
    <m/>
    <m/>
    <m/>
    <m/>
    <m/>
    <m/>
    <m/>
    <n v="2"/>
    <n v="29900"/>
  </r>
  <r>
    <d v="2025-09-02T00:00:00"/>
    <m/>
    <m/>
    <m/>
    <m/>
    <n v="2"/>
    <m/>
    <m/>
    <m/>
    <m/>
    <n v="1"/>
    <m/>
    <m/>
    <m/>
    <m/>
    <m/>
    <m/>
    <m/>
    <m/>
    <n v="3"/>
    <n v="172400"/>
  </r>
  <r>
    <d v="2025-09-23T00:00:00"/>
    <n v="34"/>
    <m/>
    <n v="1"/>
    <m/>
    <m/>
    <m/>
    <m/>
    <m/>
    <m/>
    <n v="1"/>
    <m/>
    <m/>
    <m/>
    <n v="1"/>
    <m/>
    <m/>
    <m/>
    <m/>
    <n v="3"/>
    <n v="51400"/>
  </r>
  <r>
    <d v="2025-09-23T00:00:00"/>
    <n v="35"/>
    <m/>
    <m/>
    <m/>
    <m/>
    <m/>
    <m/>
    <m/>
    <m/>
    <m/>
    <n v="3"/>
    <m/>
    <m/>
    <m/>
    <m/>
    <m/>
    <m/>
    <m/>
    <n v="3"/>
    <n v="59700"/>
  </r>
  <r>
    <d v="2025-09-23T00:00:00"/>
    <n v="36"/>
    <m/>
    <m/>
    <m/>
    <m/>
    <m/>
    <m/>
    <m/>
    <m/>
    <m/>
    <m/>
    <m/>
    <n v="1"/>
    <m/>
    <m/>
    <n v="1"/>
    <m/>
    <m/>
    <n v="2"/>
    <n v="40000"/>
  </r>
  <r>
    <d v="2025-09-23T00:00:00"/>
    <n v="37"/>
    <m/>
    <m/>
    <m/>
    <m/>
    <m/>
    <m/>
    <m/>
    <m/>
    <n v="1"/>
    <m/>
    <m/>
    <n v="1"/>
    <m/>
    <m/>
    <n v="1"/>
    <m/>
    <m/>
    <n v="3"/>
    <n v="50000"/>
  </r>
  <r>
    <d v="2025-09-24T00:00:00"/>
    <n v="38"/>
    <m/>
    <m/>
    <m/>
    <m/>
    <m/>
    <m/>
    <m/>
    <m/>
    <n v="1"/>
    <m/>
    <m/>
    <m/>
    <m/>
    <m/>
    <n v="1"/>
    <m/>
    <m/>
    <n v="2"/>
    <n v="26000"/>
  </r>
  <r>
    <d v="2025-09-24T00:00:00"/>
    <n v="39"/>
    <m/>
    <m/>
    <m/>
    <m/>
    <m/>
    <m/>
    <m/>
    <m/>
    <m/>
    <m/>
    <m/>
    <n v="1"/>
    <n v="1"/>
    <m/>
    <n v="1"/>
    <n v="1"/>
    <m/>
    <n v="4"/>
    <n v="66000"/>
  </r>
  <r>
    <d v="2025-09-24T00:00:00"/>
    <n v="40"/>
    <m/>
    <m/>
    <m/>
    <m/>
    <m/>
    <n v="1"/>
    <m/>
    <m/>
    <n v="1"/>
    <m/>
    <n v="1"/>
    <m/>
    <m/>
    <m/>
    <m/>
    <m/>
    <m/>
    <n v="3"/>
    <n v="27500"/>
  </r>
  <r>
    <d v="2025-09-24T00:00:00"/>
    <n v="41"/>
    <m/>
    <m/>
    <m/>
    <m/>
    <m/>
    <m/>
    <m/>
    <m/>
    <m/>
    <m/>
    <m/>
    <m/>
    <n v="1"/>
    <m/>
    <n v="1"/>
    <m/>
    <m/>
    <n v="2"/>
    <n v="32000"/>
  </r>
  <r>
    <d v="2025-09-24T00:00:00"/>
    <n v="42"/>
    <m/>
    <m/>
    <m/>
    <m/>
    <m/>
    <m/>
    <m/>
    <m/>
    <n v="1"/>
    <m/>
    <m/>
    <n v="1"/>
    <m/>
    <m/>
    <m/>
    <m/>
    <m/>
    <n v="2"/>
    <n v="38800"/>
  </r>
  <r>
    <d v="2025-09-25T00:00:00"/>
    <n v="43"/>
    <m/>
    <m/>
    <m/>
    <m/>
    <m/>
    <m/>
    <m/>
    <m/>
    <m/>
    <m/>
    <m/>
    <n v="1"/>
    <m/>
    <m/>
    <n v="1"/>
    <m/>
    <m/>
    <n v="2"/>
    <n v="40000"/>
  </r>
  <r>
    <d v="2025-09-25T00:00:00"/>
    <n v="44"/>
    <m/>
    <m/>
    <m/>
    <m/>
    <m/>
    <n v="1"/>
    <m/>
    <m/>
    <m/>
    <m/>
    <m/>
    <m/>
    <m/>
    <n v="1"/>
    <m/>
    <m/>
    <m/>
    <n v="2"/>
    <n v="35000"/>
  </r>
  <r>
    <d v="2025-09-25T00:00:00"/>
    <n v="45"/>
    <m/>
    <m/>
    <m/>
    <m/>
    <m/>
    <n v="1"/>
    <m/>
    <m/>
    <n v="1"/>
    <m/>
    <n v="1"/>
    <m/>
    <m/>
    <m/>
    <m/>
    <m/>
    <m/>
    <n v="3"/>
    <n v="27500"/>
  </r>
  <r>
    <d v="2025-09-25T00:00:00"/>
    <n v="46"/>
    <m/>
    <m/>
    <m/>
    <m/>
    <m/>
    <m/>
    <m/>
    <m/>
    <m/>
    <m/>
    <m/>
    <n v="1"/>
    <n v="1"/>
    <m/>
    <m/>
    <m/>
    <m/>
    <n v="2"/>
    <n v="40000"/>
  </r>
  <r>
    <d v="2025-09-26T00:00:00"/>
    <n v="47"/>
    <m/>
    <m/>
    <m/>
    <m/>
    <m/>
    <m/>
    <m/>
    <m/>
    <n v="1"/>
    <m/>
    <m/>
    <m/>
    <m/>
    <m/>
    <n v="1"/>
    <n v="1"/>
    <m/>
    <n v="3"/>
    <n v="36000"/>
  </r>
  <r>
    <d v="2025-09-26T00:00:00"/>
    <n v="48"/>
    <m/>
    <m/>
    <n v="2"/>
    <m/>
    <m/>
    <m/>
    <m/>
    <m/>
    <m/>
    <m/>
    <m/>
    <m/>
    <m/>
    <m/>
    <m/>
    <m/>
    <m/>
    <n v="2"/>
    <n v="63000"/>
  </r>
  <r>
    <d v="2025-09-26T00:00:00"/>
    <n v="49"/>
    <m/>
    <m/>
    <m/>
    <m/>
    <m/>
    <m/>
    <m/>
    <m/>
    <m/>
    <m/>
    <m/>
    <m/>
    <m/>
    <m/>
    <m/>
    <m/>
    <m/>
    <n v="0"/>
    <n v="30000"/>
  </r>
  <r>
    <d v="2025-09-26T00:00:00"/>
    <n v="50"/>
    <m/>
    <m/>
    <m/>
    <m/>
    <m/>
    <m/>
    <m/>
    <m/>
    <m/>
    <m/>
    <n v="1"/>
    <n v="1"/>
    <m/>
    <m/>
    <m/>
    <m/>
    <m/>
    <n v="2"/>
    <n v="31500"/>
  </r>
  <r>
    <d v="2025-09-26T00:00:00"/>
    <n v="51"/>
    <m/>
    <m/>
    <m/>
    <m/>
    <m/>
    <n v="1"/>
    <m/>
    <m/>
    <n v="1"/>
    <m/>
    <n v="1"/>
    <m/>
    <m/>
    <m/>
    <m/>
    <m/>
    <m/>
    <n v="3"/>
    <n v="27500"/>
  </r>
  <r>
    <d v="2025-09-26T00:00:00"/>
    <n v="52"/>
    <m/>
    <m/>
    <m/>
    <m/>
    <m/>
    <m/>
    <m/>
    <m/>
    <m/>
    <n v="2"/>
    <m/>
    <m/>
    <m/>
    <m/>
    <m/>
    <m/>
    <m/>
    <n v="2"/>
    <n v="39800"/>
  </r>
  <r>
    <d v="2025-09-27T00:00:00"/>
    <n v="53"/>
    <m/>
    <m/>
    <m/>
    <m/>
    <m/>
    <m/>
    <m/>
    <m/>
    <n v="1"/>
    <m/>
    <n v="1"/>
    <m/>
    <n v="1"/>
    <m/>
    <m/>
    <m/>
    <m/>
    <n v="3"/>
    <n v="33500"/>
  </r>
  <r>
    <d v="2025-09-27T00:00:00"/>
    <n v="54"/>
    <m/>
    <m/>
    <m/>
    <m/>
    <m/>
    <n v="1"/>
    <m/>
    <m/>
    <m/>
    <m/>
    <m/>
    <m/>
    <m/>
    <m/>
    <n v="1"/>
    <m/>
    <m/>
    <n v="2"/>
    <n v="26000"/>
  </r>
  <r>
    <d v="2025-09-28T00:00:00"/>
    <n v="55"/>
    <m/>
    <m/>
    <m/>
    <m/>
    <m/>
    <m/>
    <m/>
    <m/>
    <m/>
    <m/>
    <m/>
    <n v="1"/>
    <m/>
    <m/>
    <m/>
    <n v="1"/>
    <m/>
    <n v="2"/>
    <n v="34000"/>
  </r>
  <r>
    <d v="2025-09-28T00:00:00"/>
    <n v="56"/>
    <m/>
    <m/>
    <m/>
    <m/>
    <m/>
    <m/>
    <m/>
    <m/>
    <n v="1"/>
    <m/>
    <n v="1"/>
    <m/>
    <m/>
    <m/>
    <n v="1"/>
    <m/>
    <m/>
    <n v="3"/>
    <n v="33500"/>
  </r>
  <r>
    <d v="2025-09-28T00:00:00"/>
    <n v="57"/>
    <m/>
    <m/>
    <m/>
    <m/>
    <m/>
    <n v="1"/>
    <m/>
    <m/>
    <m/>
    <n v="1"/>
    <m/>
    <m/>
    <m/>
    <m/>
    <m/>
    <n v="1"/>
    <m/>
    <n v="3"/>
    <n v="39900"/>
  </r>
  <r>
    <d v="2025-09-29T00:00:00"/>
    <n v="58"/>
    <m/>
    <m/>
    <m/>
    <m/>
    <m/>
    <n v="1"/>
    <m/>
    <m/>
    <m/>
    <n v="1"/>
    <n v="1"/>
    <m/>
    <m/>
    <n v="1"/>
    <n v="1"/>
    <m/>
    <m/>
    <n v="5"/>
    <n v="78400"/>
  </r>
  <r>
    <d v="2025-09-29T00:00:00"/>
    <n v="59"/>
    <m/>
    <m/>
    <m/>
    <m/>
    <m/>
    <n v="1"/>
    <m/>
    <m/>
    <m/>
    <n v="1"/>
    <n v="1"/>
    <m/>
    <n v="1"/>
    <m/>
    <m/>
    <m/>
    <m/>
    <n v="4"/>
    <n v="53400"/>
  </r>
  <r>
    <d v="2025-09-29T00:00:00"/>
    <n v="60"/>
    <m/>
    <m/>
    <m/>
    <m/>
    <m/>
    <m/>
    <m/>
    <m/>
    <m/>
    <m/>
    <m/>
    <n v="1"/>
    <n v="0.5"/>
    <m/>
    <m/>
    <n v="1"/>
    <m/>
    <n v="2.5"/>
    <n v="42000"/>
  </r>
  <r>
    <d v="2025-09-29T00:00:00"/>
    <n v="61"/>
    <m/>
    <m/>
    <m/>
    <m/>
    <m/>
    <m/>
    <m/>
    <m/>
    <n v="1"/>
    <n v="1"/>
    <m/>
    <m/>
    <m/>
    <m/>
    <m/>
    <m/>
    <m/>
    <n v="2"/>
    <n v="44900"/>
  </r>
  <r>
    <d v="2025-09-29T00:00:00"/>
    <n v="62"/>
    <m/>
    <m/>
    <m/>
    <m/>
    <m/>
    <n v="1"/>
    <m/>
    <m/>
    <m/>
    <m/>
    <n v="2"/>
    <m/>
    <m/>
    <m/>
    <m/>
    <m/>
    <m/>
    <n v="3"/>
    <n v="25000"/>
  </r>
  <r>
    <d v="2025-09-29T00:00:00"/>
    <n v="63"/>
    <m/>
    <m/>
    <m/>
    <m/>
    <m/>
    <n v="1"/>
    <m/>
    <m/>
    <m/>
    <n v="1"/>
    <n v="1"/>
    <m/>
    <m/>
    <m/>
    <m/>
    <m/>
    <m/>
    <n v="3"/>
    <n v="37400"/>
  </r>
  <r>
    <d v="2025-09-30T00:00:00"/>
    <n v="64"/>
    <m/>
    <m/>
    <m/>
    <m/>
    <m/>
    <n v="1"/>
    <m/>
    <m/>
    <n v="1"/>
    <m/>
    <n v="1"/>
    <n v="1"/>
    <m/>
    <m/>
    <m/>
    <m/>
    <m/>
    <n v="4"/>
    <n v="51500"/>
  </r>
  <r>
    <d v="2025-09-30T00:00:00"/>
    <n v="65"/>
    <m/>
    <m/>
    <m/>
    <n v="1"/>
    <n v="1"/>
    <m/>
    <m/>
    <m/>
    <m/>
    <m/>
    <m/>
    <m/>
    <m/>
    <m/>
    <m/>
    <m/>
    <m/>
    <n v="2"/>
    <n v="115100"/>
  </r>
  <r>
    <d v="2025-09-30T00:00:00"/>
    <n v="66"/>
    <m/>
    <m/>
    <m/>
    <m/>
    <m/>
    <n v="1"/>
    <m/>
    <m/>
    <n v="1"/>
    <m/>
    <n v="1"/>
    <m/>
    <m/>
    <m/>
    <m/>
    <m/>
    <m/>
    <n v="3"/>
    <n v="27500"/>
  </r>
  <r>
    <d v="2025-09-30T00:00:00"/>
    <n v="67"/>
    <m/>
    <m/>
    <m/>
    <m/>
    <m/>
    <n v="1"/>
    <m/>
    <m/>
    <n v="1"/>
    <m/>
    <n v="1"/>
    <m/>
    <m/>
    <m/>
    <m/>
    <m/>
    <m/>
    <n v="3"/>
    <n v="27500"/>
  </r>
  <r>
    <d v="2025-09-30T00:00:00"/>
    <n v="68"/>
    <m/>
    <n v="1"/>
    <m/>
    <m/>
    <m/>
    <m/>
    <m/>
    <m/>
    <m/>
    <m/>
    <m/>
    <m/>
    <m/>
    <m/>
    <m/>
    <m/>
    <m/>
    <n v="1"/>
    <n v="25400"/>
  </r>
  <r>
    <d v="2025-09-30T00:00:00"/>
    <n v="69"/>
    <m/>
    <m/>
    <n v="1"/>
    <m/>
    <m/>
    <n v="1"/>
    <m/>
    <m/>
    <n v="1"/>
    <m/>
    <n v="1"/>
    <m/>
    <m/>
    <m/>
    <m/>
    <m/>
    <m/>
    <n v="4"/>
    <n v="59000"/>
  </r>
  <r>
    <d v="2025-09-30T00:00:00"/>
    <n v="70"/>
    <m/>
    <m/>
    <n v="1"/>
    <m/>
    <m/>
    <m/>
    <m/>
    <m/>
    <m/>
    <m/>
    <m/>
    <m/>
    <m/>
    <m/>
    <m/>
    <m/>
    <m/>
    <n v="1"/>
    <n v="31500"/>
  </r>
  <r>
    <d v="2025-09-30T00:00:00"/>
    <n v="71"/>
    <m/>
    <m/>
    <m/>
    <m/>
    <m/>
    <m/>
    <m/>
    <m/>
    <m/>
    <m/>
    <n v="4"/>
    <m/>
    <m/>
    <m/>
    <m/>
    <m/>
    <m/>
    <n v="4"/>
    <n v="30000"/>
  </r>
  <r>
    <d v="2025-10-01T00:00:00"/>
    <n v="72"/>
    <m/>
    <m/>
    <m/>
    <m/>
    <m/>
    <m/>
    <m/>
    <m/>
    <n v="3"/>
    <m/>
    <m/>
    <n v="1"/>
    <m/>
    <m/>
    <m/>
    <m/>
    <m/>
    <n v="4"/>
    <n v="54000"/>
  </r>
  <r>
    <d v="2025-10-01T00:00:00"/>
    <n v="73"/>
    <m/>
    <m/>
    <m/>
    <n v="1"/>
    <m/>
    <m/>
    <m/>
    <m/>
    <m/>
    <m/>
    <m/>
    <m/>
    <m/>
    <m/>
    <m/>
    <m/>
    <m/>
    <n v="1"/>
    <n v="81200"/>
  </r>
  <r>
    <d v="2025-10-01T00:00:00"/>
    <n v="74"/>
    <m/>
    <m/>
    <m/>
    <m/>
    <m/>
    <m/>
    <m/>
    <m/>
    <n v="1"/>
    <n v="1"/>
    <n v="1"/>
    <m/>
    <m/>
    <m/>
    <m/>
    <m/>
    <m/>
    <n v="3"/>
    <n v="37400"/>
  </r>
  <r>
    <d v="2025-10-01T00:00:00"/>
    <n v="75"/>
    <m/>
    <m/>
    <m/>
    <m/>
    <m/>
    <m/>
    <m/>
    <m/>
    <m/>
    <n v="5"/>
    <m/>
    <m/>
    <m/>
    <m/>
    <m/>
    <m/>
    <m/>
    <n v="5"/>
    <n v="99500"/>
  </r>
  <r>
    <d v="2025-10-01T00:00:00"/>
    <n v="76"/>
    <m/>
    <n v="1"/>
    <m/>
    <m/>
    <m/>
    <n v="1"/>
    <m/>
    <m/>
    <n v="1"/>
    <m/>
    <n v="1"/>
    <m/>
    <m/>
    <m/>
    <m/>
    <m/>
    <m/>
    <n v="4"/>
    <n v="52900"/>
  </r>
  <r>
    <d v="2025-10-01T00:00:00"/>
    <n v="77"/>
    <m/>
    <m/>
    <m/>
    <n v="1"/>
    <m/>
    <m/>
    <m/>
    <m/>
    <m/>
    <m/>
    <m/>
    <m/>
    <m/>
    <m/>
    <m/>
    <m/>
    <m/>
    <n v="1"/>
    <n v="80000"/>
  </r>
  <r>
    <d v="2025-10-01T00:00:00"/>
    <n v="78"/>
    <m/>
    <m/>
    <m/>
    <m/>
    <m/>
    <n v="1"/>
    <m/>
    <m/>
    <m/>
    <m/>
    <n v="2"/>
    <m/>
    <m/>
    <m/>
    <m/>
    <m/>
    <m/>
    <n v="3"/>
    <n v="25000"/>
  </r>
  <r>
    <d v="2025-10-01T00:00:00"/>
    <n v="79"/>
    <m/>
    <m/>
    <m/>
    <m/>
    <m/>
    <n v="1"/>
    <m/>
    <m/>
    <n v="1"/>
    <m/>
    <n v="1"/>
    <m/>
    <m/>
    <m/>
    <m/>
    <m/>
    <m/>
    <n v="3"/>
    <n v="27500"/>
  </r>
  <r>
    <d v="2025-10-01T00:00:00"/>
    <n v="80"/>
    <m/>
    <m/>
    <m/>
    <m/>
    <m/>
    <n v="1"/>
    <m/>
    <m/>
    <m/>
    <m/>
    <n v="1"/>
    <m/>
    <m/>
    <m/>
    <m/>
    <m/>
    <m/>
    <n v="2"/>
    <n v="17500"/>
  </r>
  <r>
    <d v="2025-10-01T00:00:00"/>
    <n v="81"/>
    <m/>
    <n v="1"/>
    <m/>
    <m/>
    <m/>
    <m/>
    <m/>
    <m/>
    <m/>
    <m/>
    <m/>
    <m/>
    <m/>
    <m/>
    <m/>
    <m/>
    <m/>
    <n v="1"/>
    <n v="25400"/>
  </r>
  <r>
    <d v="2025-10-01T00:00:00"/>
    <n v="82"/>
    <m/>
    <m/>
    <m/>
    <m/>
    <m/>
    <m/>
    <m/>
    <m/>
    <m/>
    <n v="18"/>
    <m/>
    <m/>
    <m/>
    <m/>
    <m/>
    <m/>
    <m/>
    <n v="18"/>
    <n v="358200"/>
  </r>
  <r>
    <d v="2025-10-02T00:00:00"/>
    <n v="83"/>
    <m/>
    <m/>
    <m/>
    <m/>
    <m/>
    <m/>
    <m/>
    <m/>
    <n v="1"/>
    <n v="1"/>
    <m/>
    <m/>
    <m/>
    <m/>
    <m/>
    <m/>
    <m/>
    <n v="2"/>
    <n v="29900"/>
  </r>
  <r>
    <d v="2025-10-02T00:00:00"/>
    <n v="84"/>
    <m/>
    <m/>
    <m/>
    <n v="1"/>
    <m/>
    <m/>
    <m/>
    <m/>
    <n v="2"/>
    <m/>
    <m/>
    <m/>
    <m/>
    <m/>
    <m/>
    <m/>
    <m/>
    <n v="3"/>
    <n v="101200"/>
  </r>
  <r>
    <d v="2025-10-02T00:00:00"/>
    <n v="85"/>
    <m/>
    <n v="1"/>
    <m/>
    <m/>
    <m/>
    <m/>
    <m/>
    <m/>
    <m/>
    <m/>
    <m/>
    <m/>
    <m/>
    <m/>
    <m/>
    <m/>
    <m/>
    <n v="1"/>
    <n v="25400"/>
  </r>
  <r>
    <d v="2025-10-02T00:00:00"/>
    <n v="86"/>
    <m/>
    <m/>
    <m/>
    <m/>
    <m/>
    <m/>
    <m/>
    <m/>
    <n v="1"/>
    <m/>
    <m/>
    <n v="1"/>
    <n v="1"/>
    <m/>
    <m/>
    <n v="1"/>
    <m/>
    <n v="4"/>
    <n v="60000"/>
  </r>
  <r>
    <d v="2025-10-02T00:00:00"/>
    <n v="87"/>
    <m/>
    <m/>
    <m/>
    <m/>
    <m/>
    <m/>
    <m/>
    <m/>
    <m/>
    <n v="2"/>
    <m/>
    <m/>
    <m/>
    <m/>
    <m/>
    <m/>
    <m/>
    <n v="2"/>
    <n v="39800"/>
  </r>
  <r>
    <d v="2025-10-03T00:00:00"/>
    <n v="88"/>
    <m/>
    <m/>
    <m/>
    <m/>
    <m/>
    <m/>
    <m/>
    <m/>
    <m/>
    <m/>
    <m/>
    <n v="1"/>
    <n v="1"/>
    <m/>
    <m/>
    <m/>
    <m/>
    <n v="2"/>
    <n v="40000"/>
  </r>
  <r>
    <d v="2025-10-03T00:00:00"/>
    <n v="89"/>
    <m/>
    <m/>
    <m/>
    <n v="1"/>
    <n v="1"/>
    <m/>
    <m/>
    <m/>
    <m/>
    <m/>
    <m/>
    <m/>
    <m/>
    <m/>
    <m/>
    <m/>
    <m/>
    <n v="2"/>
    <n v="115100"/>
  </r>
  <r>
    <d v="2025-10-03T00:00:00"/>
    <n v="90"/>
    <m/>
    <m/>
    <m/>
    <m/>
    <m/>
    <n v="1"/>
    <m/>
    <m/>
    <n v="1"/>
    <m/>
    <m/>
    <m/>
    <m/>
    <m/>
    <m/>
    <n v="1"/>
    <m/>
    <n v="3"/>
    <n v="30000"/>
  </r>
  <r>
    <d v="2025-10-03T00:00:00"/>
    <n v="91"/>
    <m/>
    <m/>
    <m/>
    <n v="1"/>
    <m/>
    <m/>
    <m/>
    <m/>
    <m/>
    <m/>
    <m/>
    <m/>
    <m/>
    <m/>
    <m/>
    <m/>
    <m/>
    <n v="1"/>
    <n v="81200"/>
  </r>
  <r>
    <d v="2025-10-05T00:00:00"/>
    <n v="92"/>
    <m/>
    <m/>
    <n v="1"/>
    <n v="1"/>
    <m/>
    <n v="1"/>
    <m/>
    <m/>
    <n v="1"/>
    <m/>
    <m/>
    <m/>
    <m/>
    <m/>
    <m/>
    <m/>
    <m/>
    <n v="4"/>
    <n v="132700"/>
  </r>
  <r>
    <d v="2025-10-05T00:00:00"/>
    <n v="93"/>
    <m/>
    <n v="1"/>
    <m/>
    <m/>
    <m/>
    <m/>
    <m/>
    <m/>
    <n v="1"/>
    <m/>
    <m/>
    <m/>
    <m/>
    <m/>
    <m/>
    <m/>
    <m/>
    <n v="2"/>
    <n v="35400"/>
  </r>
  <r>
    <d v="2025-10-05T00:00:00"/>
    <n v="94"/>
    <m/>
    <m/>
    <n v="1"/>
    <m/>
    <m/>
    <m/>
    <m/>
    <m/>
    <m/>
    <m/>
    <m/>
    <m/>
    <m/>
    <m/>
    <m/>
    <m/>
    <m/>
    <n v="1"/>
    <n v="31500"/>
  </r>
  <r>
    <d v="2025-10-05T00:00:00"/>
    <n v="95"/>
    <m/>
    <m/>
    <m/>
    <m/>
    <m/>
    <m/>
    <m/>
    <m/>
    <m/>
    <m/>
    <m/>
    <m/>
    <m/>
    <m/>
    <m/>
    <n v="3"/>
    <m/>
    <n v="3"/>
    <n v="30000"/>
  </r>
  <r>
    <d v="2025-10-05T00:00:00"/>
    <n v="96"/>
    <m/>
    <m/>
    <m/>
    <m/>
    <m/>
    <n v="1"/>
    <m/>
    <m/>
    <m/>
    <m/>
    <m/>
    <n v="1"/>
    <m/>
    <m/>
    <m/>
    <m/>
    <m/>
    <n v="2"/>
    <n v="34000"/>
  </r>
  <r>
    <d v="2025-10-05T00:00:00"/>
    <n v="97"/>
    <m/>
    <m/>
    <m/>
    <n v="1"/>
    <m/>
    <n v="1"/>
    <m/>
    <m/>
    <m/>
    <m/>
    <m/>
    <m/>
    <m/>
    <m/>
    <m/>
    <m/>
    <m/>
    <n v="2"/>
    <n v="91200"/>
  </r>
  <r>
    <d v="2025-10-06T00:00:00"/>
    <n v="98"/>
    <m/>
    <m/>
    <n v="1"/>
    <m/>
    <m/>
    <m/>
    <m/>
    <m/>
    <m/>
    <m/>
    <m/>
    <m/>
    <m/>
    <m/>
    <m/>
    <m/>
    <m/>
    <n v="1"/>
    <n v="31500"/>
  </r>
  <r>
    <d v="2025-10-06T00:00:00"/>
    <n v="99"/>
    <m/>
    <n v="1"/>
    <m/>
    <m/>
    <m/>
    <m/>
    <m/>
    <m/>
    <m/>
    <m/>
    <m/>
    <m/>
    <m/>
    <m/>
    <m/>
    <m/>
    <m/>
    <n v="1"/>
    <n v="25400"/>
  </r>
  <r>
    <d v="2025-10-06T00:00:00"/>
    <n v="100"/>
    <m/>
    <n v="1"/>
    <m/>
    <m/>
    <m/>
    <m/>
    <m/>
    <m/>
    <m/>
    <m/>
    <m/>
    <m/>
    <m/>
    <m/>
    <m/>
    <m/>
    <m/>
    <n v="1"/>
    <n v="25400"/>
  </r>
  <r>
    <d v="2025-10-06T00:00:00"/>
    <n v="101"/>
    <m/>
    <m/>
    <m/>
    <m/>
    <m/>
    <n v="2"/>
    <m/>
    <m/>
    <m/>
    <m/>
    <m/>
    <n v="1"/>
    <m/>
    <m/>
    <m/>
    <m/>
    <m/>
    <n v="3"/>
    <n v="44000"/>
  </r>
  <r>
    <d v="2025-10-07T00:00:00"/>
    <n v="102"/>
    <m/>
    <m/>
    <m/>
    <m/>
    <m/>
    <n v="1"/>
    <m/>
    <m/>
    <n v="1"/>
    <m/>
    <m/>
    <m/>
    <m/>
    <m/>
    <m/>
    <n v="1"/>
    <m/>
    <n v="3"/>
    <n v="30000"/>
  </r>
  <r>
    <d v="2025-10-07T00:00:00"/>
    <n v="103"/>
    <m/>
    <m/>
    <m/>
    <m/>
    <m/>
    <m/>
    <m/>
    <m/>
    <m/>
    <n v="2"/>
    <m/>
    <m/>
    <m/>
    <m/>
    <m/>
    <m/>
    <m/>
    <n v="2"/>
    <n v="39800"/>
  </r>
  <r>
    <d v="2025-10-07T00:00:00"/>
    <n v="104"/>
    <m/>
    <m/>
    <m/>
    <m/>
    <m/>
    <m/>
    <m/>
    <m/>
    <n v="3"/>
    <m/>
    <m/>
    <m/>
    <m/>
    <m/>
    <m/>
    <m/>
    <m/>
    <n v="3"/>
    <n v="30000"/>
  </r>
  <r>
    <d v="2025-10-07T00:00:00"/>
    <n v="105"/>
    <m/>
    <m/>
    <m/>
    <m/>
    <m/>
    <n v="2"/>
    <m/>
    <m/>
    <n v="1"/>
    <m/>
    <m/>
    <m/>
    <m/>
    <m/>
    <m/>
    <m/>
    <m/>
    <n v="3"/>
    <n v="30000"/>
  </r>
  <r>
    <d v="2025-10-08T00:00:00"/>
    <n v="106"/>
    <m/>
    <m/>
    <m/>
    <m/>
    <m/>
    <n v="1"/>
    <m/>
    <m/>
    <n v="1"/>
    <m/>
    <m/>
    <m/>
    <n v="1"/>
    <m/>
    <m/>
    <n v="1"/>
    <m/>
    <n v="4"/>
    <n v="46000"/>
  </r>
  <r>
    <d v="2025-10-08T00:00:00"/>
    <n v="107"/>
    <m/>
    <m/>
    <m/>
    <m/>
    <m/>
    <m/>
    <m/>
    <m/>
    <m/>
    <m/>
    <m/>
    <n v="1"/>
    <m/>
    <m/>
    <m/>
    <n v="1"/>
    <m/>
    <n v="2"/>
    <n v="34000"/>
  </r>
  <r>
    <d v="2025-10-08T00:00:00"/>
    <n v="108"/>
    <m/>
    <m/>
    <m/>
    <m/>
    <m/>
    <m/>
    <m/>
    <m/>
    <n v="5"/>
    <m/>
    <m/>
    <m/>
    <m/>
    <m/>
    <m/>
    <m/>
    <m/>
    <n v="5"/>
    <n v="50000"/>
  </r>
  <r>
    <d v="2025-10-09T00:00:00"/>
    <n v="109"/>
    <m/>
    <m/>
    <m/>
    <m/>
    <m/>
    <m/>
    <m/>
    <m/>
    <n v="1"/>
    <m/>
    <m/>
    <n v="2"/>
    <m/>
    <m/>
    <m/>
    <n v="2"/>
    <m/>
    <n v="5"/>
    <n v="78000"/>
  </r>
  <r>
    <d v="2025-10-09T00:00:00"/>
    <n v="110"/>
    <m/>
    <m/>
    <m/>
    <m/>
    <m/>
    <m/>
    <m/>
    <m/>
    <m/>
    <n v="2"/>
    <m/>
    <m/>
    <m/>
    <m/>
    <m/>
    <m/>
    <m/>
    <n v="2"/>
    <n v="39800"/>
  </r>
  <r>
    <d v="2025-10-09T00:00:00"/>
    <n v="111"/>
    <m/>
    <m/>
    <m/>
    <m/>
    <m/>
    <n v="3"/>
    <m/>
    <m/>
    <m/>
    <m/>
    <m/>
    <m/>
    <m/>
    <m/>
    <m/>
    <m/>
    <m/>
    <n v="3"/>
    <n v="30000"/>
  </r>
  <r>
    <d v="2025-10-09T00:00:00"/>
    <n v="112"/>
    <m/>
    <m/>
    <n v="1"/>
    <m/>
    <m/>
    <n v="1"/>
    <m/>
    <m/>
    <n v="1"/>
    <m/>
    <m/>
    <m/>
    <m/>
    <m/>
    <m/>
    <m/>
    <m/>
    <n v="3"/>
    <n v="51500"/>
  </r>
  <r>
    <d v="2025-10-10T00:00:00"/>
    <n v="113"/>
    <m/>
    <m/>
    <n v="1"/>
    <m/>
    <m/>
    <m/>
    <m/>
    <m/>
    <n v="1"/>
    <m/>
    <m/>
    <m/>
    <m/>
    <m/>
    <m/>
    <m/>
    <m/>
    <n v="2"/>
    <n v="41500"/>
  </r>
  <r>
    <d v="2025-10-10T00:00:00"/>
    <n v="114"/>
    <m/>
    <m/>
    <m/>
    <m/>
    <m/>
    <m/>
    <m/>
    <m/>
    <n v="0.5"/>
    <m/>
    <m/>
    <n v="1"/>
    <m/>
    <m/>
    <m/>
    <m/>
    <m/>
    <n v="1.5"/>
    <n v="29000"/>
  </r>
  <r>
    <d v="2025-10-12T00:00:00"/>
    <n v="115"/>
    <m/>
    <m/>
    <m/>
    <m/>
    <m/>
    <n v="1"/>
    <m/>
    <m/>
    <n v="1"/>
    <n v="1"/>
    <m/>
    <m/>
    <m/>
    <m/>
    <m/>
    <m/>
    <m/>
    <n v="3"/>
    <n v="39900"/>
  </r>
  <r>
    <d v="2025-10-12T00:00:00"/>
    <n v="116"/>
    <m/>
    <m/>
    <n v="1"/>
    <m/>
    <m/>
    <m/>
    <m/>
    <m/>
    <m/>
    <m/>
    <m/>
    <m/>
    <m/>
    <m/>
    <m/>
    <m/>
    <m/>
    <n v="1"/>
    <n v="31500"/>
  </r>
  <r>
    <d v="2025-10-12T00:00:00"/>
    <n v="117"/>
    <m/>
    <m/>
    <m/>
    <m/>
    <m/>
    <n v="1"/>
    <m/>
    <m/>
    <n v="1.5"/>
    <m/>
    <m/>
    <m/>
    <m/>
    <m/>
    <m/>
    <m/>
    <m/>
    <n v="2.5"/>
    <n v="25000"/>
  </r>
  <r>
    <d v="2025-10-14T00:00:00"/>
    <n v="118"/>
    <m/>
    <m/>
    <m/>
    <m/>
    <m/>
    <n v="1"/>
    <m/>
    <m/>
    <n v="1"/>
    <m/>
    <m/>
    <n v="1"/>
    <n v="1"/>
    <m/>
    <m/>
    <n v="1"/>
    <m/>
    <n v="5"/>
    <n v="70000"/>
  </r>
  <r>
    <d v="2025-10-14T00:00:00"/>
    <n v="119"/>
    <m/>
    <m/>
    <m/>
    <m/>
    <m/>
    <m/>
    <m/>
    <m/>
    <n v="1"/>
    <m/>
    <m/>
    <m/>
    <m/>
    <m/>
    <m/>
    <n v="2"/>
    <m/>
    <n v="3"/>
    <n v="30000"/>
  </r>
  <r>
    <d v="2025-10-15T00:00:00"/>
    <n v="120"/>
    <m/>
    <m/>
    <m/>
    <n v="1"/>
    <m/>
    <m/>
    <m/>
    <m/>
    <m/>
    <m/>
    <m/>
    <m/>
    <m/>
    <m/>
    <m/>
    <m/>
    <m/>
    <n v="1"/>
    <n v="81200"/>
  </r>
  <r>
    <d v="2025-10-15T00:00:00"/>
    <n v="121"/>
    <m/>
    <m/>
    <n v="1"/>
    <m/>
    <m/>
    <m/>
    <m/>
    <m/>
    <m/>
    <m/>
    <m/>
    <m/>
    <m/>
    <m/>
    <m/>
    <m/>
    <m/>
    <n v="1"/>
    <n v="31500"/>
  </r>
  <r>
    <d v="2025-10-16T00:00:00"/>
    <n v="122"/>
    <m/>
    <m/>
    <n v="3"/>
    <m/>
    <m/>
    <m/>
    <m/>
    <m/>
    <m/>
    <m/>
    <m/>
    <m/>
    <m/>
    <m/>
    <m/>
    <m/>
    <m/>
    <n v="3"/>
    <n v="94500"/>
  </r>
  <r>
    <d v="2025-10-16T00:00:00"/>
    <n v="123"/>
    <m/>
    <m/>
    <m/>
    <m/>
    <m/>
    <m/>
    <m/>
    <m/>
    <m/>
    <m/>
    <m/>
    <n v="1"/>
    <n v="1"/>
    <m/>
    <m/>
    <n v="1"/>
    <n v="1"/>
    <n v="4"/>
    <n v="64000"/>
  </r>
  <r>
    <d v="2025-10-16T00:00:00"/>
    <n v="124"/>
    <m/>
    <m/>
    <m/>
    <m/>
    <m/>
    <n v="2"/>
    <m/>
    <m/>
    <m/>
    <m/>
    <m/>
    <m/>
    <m/>
    <m/>
    <m/>
    <n v="3"/>
    <m/>
    <n v="5"/>
    <n v="50000"/>
  </r>
  <r>
    <d v="2025-10-23T00:00:00"/>
    <n v="125"/>
    <m/>
    <m/>
    <m/>
    <m/>
    <n v="1"/>
    <m/>
    <m/>
    <m/>
    <m/>
    <m/>
    <m/>
    <m/>
    <m/>
    <m/>
    <m/>
    <m/>
    <m/>
    <n v="1"/>
    <n v="33900"/>
  </r>
  <r>
    <d v="2025-10-23T00:00:00"/>
    <n v="126"/>
    <m/>
    <m/>
    <m/>
    <m/>
    <m/>
    <m/>
    <m/>
    <m/>
    <n v="1"/>
    <m/>
    <m/>
    <n v="1"/>
    <m/>
    <m/>
    <m/>
    <m/>
    <n v="1"/>
    <n v="3"/>
    <n v="48000"/>
  </r>
  <r>
    <d v="2025-10-28T00:00:00"/>
    <n v="127"/>
    <m/>
    <m/>
    <m/>
    <m/>
    <m/>
    <m/>
    <m/>
    <m/>
    <m/>
    <m/>
    <m/>
    <m/>
    <m/>
    <m/>
    <m/>
    <m/>
    <n v="2"/>
    <n v="2"/>
    <n v="28000"/>
  </r>
  <r>
    <d v="2025-10-28T00:00:00"/>
    <n v="128"/>
    <m/>
    <m/>
    <m/>
    <m/>
    <m/>
    <m/>
    <m/>
    <m/>
    <n v="0.5"/>
    <m/>
    <m/>
    <n v="1"/>
    <n v="1"/>
    <m/>
    <m/>
    <m/>
    <m/>
    <n v="2.5"/>
    <n v="45000"/>
  </r>
  <r>
    <d v="2025-10-28T00:00:00"/>
    <n v="129"/>
    <m/>
    <m/>
    <m/>
    <m/>
    <n v="1"/>
    <m/>
    <m/>
    <m/>
    <m/>
    <m/>
    <m/>
    <m/>
    <m/>
    <m/>
    <m/>
    <m/>
    <m/>
    <n v="1"/>
    <n v="33900"/>
  </r>
  <r>
    <d v="2025-10-28T00:00:00"/>
    <n v="130"/>
    <m/>
    <m/>
    <n v="1"/>
    <m/>
    <m/>
    <m/>
    <m/>
    <m/>
    <m/>
    <m/>
    <m/>
    <m/>
    <m/>
    <m/>
    <m/>
    <m/>
    <m/>
    <n v="1"/>
    <n v="31500"/>
  </r>
  <r>
    <d v="2025-10-29T00:00:00"/>
    <n v="131"/>
    <m/>
    <n v="1"/>
    <m/>
    <m/>
    <m/>
    <m/>
    <m/>
    <m/>
    <m/>
    <m/>
    <m/>
    <m/>
    <m/>
    <m/>
    <m/>
    <m/>
    <n v="0.5"/>
    <n v="1.5"/>
    <n v="24000"/>
  </r>
  <r>
    <d v="2025-10-30T00:00:00"/>
    <n v="132"/>
    <m/>
    <m/>
    <m/>
    <m/>
    <m/>
    <m/>
    <m/>
    <m/>
    <m/>
    <n v="1"/>
    <m/>
    <m/>
    <m/>
    <m/>
    <m/>
    <m/>
    <m/>
    <n v="1"/>
    <n v="0"/>
  </r>
  <r>
    <d v="2025-10-31T00:00:00"/>
    <n v="133"/>
    <m/>
    <m/>
    <m/>
    <m/>
    <m/>
    <n v="1"/>
    <m/>
    <m/>
    <n v="1"/>
    <m/>
    <m/>
    <m/>
    <m/>
    <m/>
    <m/>
    <n v="1"/>
    <m/>
    <n v="3"/>
    <n v="30000"/>
  </r>
  <r>
    <d v="2025-11-03T00:00:00"/>
    <n v="134"/>
    <m/>
    <m/>
    <m/>
    <m/>
    <m/>
    <n v="1"/>
    <m/>
    <m/>
    <m/>
    <m/>
    <m/>
    <m/>
    <n v="1"/>
    <m/>
    <m/>
    <m/>
    <m/>
    <n v="2"/>
    <n v="26000"/>
  </r>
  <r>
    <d v="2025-11-03T00:00:00"/>
    <n v="135"/>
    <m/>
    <m/>
    <m/>
    <m/>
    <m/>
    <m/>
    <m/>
    <m/>
    <n v="2.5"/>
    <m/>
    <m/>
    <m/>
    <m/>
    <m/>
    <m/>
    <m/>
    <m/>
    <n v="2.5"/>
    <n v="25000"/>
  </r>
  <r>
    <d v="2025-11-03T00:00:00"/>
    <n v="136"/>
    <m/>
    <m/>
    <m/>
    <m/>
    <m/>
    <n v="1"/>
    <m/>
    <m/>
    <n v="1"/>
    <m/>
    <m/>
    <m/>
    <m/>
    <m/>
    <m/>
    <m/>
    <n v="1"/>
    <n v="3"/>
    <n v="34000"/>
  </r>
  <r>
    <d v="2025-11-03T00:00:00"/>
    <n v="137"/>
    <m/>
    <m/>
    <m/>
    <m/>
    <m/>
    <m/>
    <m/>
    <m/>
    <m/>
    <m/>
    <m/>
    <m/>
    <n v="1"/>
    <m/>
    <m/>
    <m/>
    <n v="1"/>
    <n v="2"/>
    <n v="30000"/>
  </r>
  <r>
    <d v="2025-11-04T00:00:00"/>
    <n v="138"/>
    <m/>
    <m/>
    <m/>
    <n v="1"/>
    <m/>
    <n v="1"/>
    <m/>
    <m/>
    <m/>
    <m/>
    <m/>
    <m/>
    <m/>
    <m/>
    <m/>
    <m/>
    <m/>
    <n v="2"/>
    <n v="91200"/>
  </r>
  <r>
    <d v="2025-11-04T00:00:00"/>
    <n v="139"/>
    <m/>
    <m/>
    <m/>
    <m/>
    <m/>
    <m/>
    <m/>
    <m/>
    <m/>
    <n v="2"/>
    <m/>
    <m/>
    <m/>
    <m/>
    <m/>
    <m/>
    <m/>
    <n v="2"/>
    <n v="39800"/>
  </r>
  <r>
    <d v="2025-11-04T00:00:00"/>
    <n v="140"/>
    <m/>
    <m/>
    <m/>
    <m/>
    <m/>
    <m/>
    <m/>
    <m/>
    <n v="0.1"/>
    <m/>
    <m/>
    <m/>
    <m/>
    <m/>
    <m/>
    <m/>
    <m/>
    <n v="0.1"/>
    <n v="1000"/>
  </r>
  <r>
    <d v="2025-11-05T00:00:00"/>
    <n v="141"/>
    <m/>
    <n v="1"/>
    <m/>
    <m/>
    <m/>
    <n v="0.5"/>
    <m/>
    <m/>
    <m/>
    <m/>
    <m/>
    <m/>
    <m/>
    <m/>
    <m/>
    <m/>
    <m/>
    <n v="1.5"/>
    <n v="30400"/>
  </r>
  <r>
    <d v="2025-11-05T00:00:00"/>
    <n v="142"/>
    <m/>
    <m/>
    <m/>
    <n v="1"/>
    <m/>
    <m/>
    <m/>
    <m/>
    <m/>
    <m/>
    <m/>
    <m/>
    <m/>
    <m/>
    <m/>
    <m/>
    <m/>
    <n v="1"/>
    <n v="81200"/>
  </r>
  <r>
    <d v="2025-11-05T00:00:00"/>
    <n v="143"/>
    <m/>
    <m/>
    <m/>
    <m/>
    <m/>
    <n v="3"/>
    <m/>
    <m/>
    <n v="2"/>
    <n v="1"/>
    <m/>
    <n v="1"/>
    <m/>
    <m/>
    <m/>
    <m/>
    <m/>
    <n v="7"/>
    <n v="101400"/>
  </r>
  <r>
    <d v="2025-11-05T00:00:00"/>
    <n v="144"/>
    <m/>
    <m/>
    <n v="1"/>
    <m/>
    <m/>
    <m/>
    <m/>
    <m/>
    <m/>
    <m/>
    <m/>
    <m/>
    <m/>
    <m/>
    <m/>
    <m/>
    <m/>
    <n v="1"/>
    <n v="31500"/>
  </r>
  <r>
    <d v="2025-11-07T00:00:00"/>
    <n v="145"/>
    <m/>
    <m/>
    <n v="1"/>
    <m/>
    <m/>
    <m/>
    <m/>
    <m/>
    <m/>
    <m/>
    <m/>
    <m/>
    <m/>
    <m/>
    <m/>
    <m/>
    <m/>
    <n v="1"/>
    <n v="31500"/>
  </r>
  <r>
    <d v="2025-11-07T00:00:00"/>
    <n v="146"/>
    <m/>
    <m/>
    <m/>
    <n v="1"/>
    <m/>
    <m/>
    <m/>
    <m/>
    <m/>
    <m/>
    <m/>
    <m/>
    <m/>
    <m/>
    <m/>
    <m/>
    <m/>
    <n v="1"/>
    <n v="81200"/>
  </r>
  <r>
    <d v="2025-11-08T00:00:00"/>
    <n v="147"/>
    <m/>
    <m/>
    <m/>
    <n v="1"/>
    <m/>
    <m/>
    <m/>
    <m/>
    <m/>
    <m/>
    <m/>
    <m/>
    <m/>
    <m/>
    <m/>
    <m/>
    <m/>
    <n v="1"/>
    <n v="81200"/>
  </r>
  <r>
    <d v="2025-11-08T00:00:00"/>
    <n v="148"/>
    <m/>
    <n v="1"/>
    <m/>
    <m/>
    <m/>
    <m/>
    <m/>
    <m/>
    <n v="1"/>
    <m/>
    <m/>
    <m/>
    <m/>
    <m/>
    <m/>
    <m/>
    <m/>
    <n v="2"/>
    <n v="35400"/>
  </r>
  <r>
    <d v="2025-11-11T00:00:00"/>
    <n v="149"/>
    <m/>
    <m/>
    <m/>
    <m/>
    <m/>
    <n v="1"/>
    <m/>
    <m/>
    <n v="2"/>
    <m/>
    <m/>
    <m/>
    <m/>
    <m/>
    <m/>
    <m/>
    <m/>
    <n v="3"/>
    <n v="30000"/>
  </r>
  <r>
    <d v="2025-11-11T00:00:00"/>
    <n v="150"/>
    <m/>
    <m/>
    <m/>
    <m/>
    <m/>
    <m/>
    <m/>
    <m/>
    <m/>
    <n v="1"/>
    <m/>
    <n v="1"/>
    <m/>
    <m/>
    <m/>
    <m/>
    <n v="1"/>
    <n v="3"/>
    <n v="57900"/>
  </r>
  <r>
    <d v="2025-11-11T00:00:00"/>
    <n v="151"/>
    <m/>
    <m/>
    <m/>
    <m/>
    <m/>
    <m/>
    <m/>
    <m/>
    <n v="1"/>
    <m/>
    <m/>
    <n v="1"/>
    <m/>
    <m/>
    <m/>
    <n v="1"/>
    <n v="1"/>
    <n v="4"/>
    <n v="58000"/>
  </r>
  <r>
    <d v="2025-11-11T00:00:00"/>
    <n v="152"/>
    <m/>
    <m/>
    <m/>
    <m/>
    <n v="1"/>
    <n v="1"/>
    <m/>
    <m/>
    <n v="4"/>
    <m/>
    <m/>
    <m/>
    <m/>
    <m/>
    <m/>
    <m/>
    <m/>
    <n v="6"/>
    <n v="83900"/>
  </r>
  <r>
    <d v="2025-11-11T00:00:00"/>
    <n v="153"/>
    <m/>
    <m/>
    <m/>
    <m/>
    <m/>
    <m/>
    <m/>
    <m/>
    <n v="2.5"/>
    <m/>
    <m/>
    <m/>
    <m/>
    <m/>
    <m/>
    <m/>
    <m/>
    <n v="2.5"/>
    <n v="25000"/>
  </r>
  <r>
    <d v="2025-11-11T00:00:00"/>
    <n v="154"/>
    <m/>
    <m/>
    <m/>
    <m/>
    <m/>
    <m/>
    <m/>
    <m/>
    <n v="1"/>
    <m/>
    <m/>
    <n v="1"/>
    <m/>
    <m/>
    <m/>
    <m/>
    <n v="1"/>
    <n v="3"/>
    <n v="48000"/>
  </r>
  <r>
    <d v="2025-11-12T00:00:00"/>
    <n v="155"/>
    <m/>
    <m/>
    <m/>
    <m/>
    <m/>
    <m/>
    <m/>
    <m/>
    <n v="2"/>
    <m/>
    <m/>
    <m/>
    <n v="0.5"/>
    <m/>
    <m/>
    <n v="1"/>
    <n v="2"/>
    <n v="5.5"/>
    <n v="66000"/>
  </r>
  <r>
    <d v="2025-11-12T00:00:00"/>
    <n v="156"/>
    <m/>
    <m/>
    <m/>
    <m/>
    <m/>
    <n v="1"/>
    <m/>
    <m/>
    <n v="2"/>
    <m/>
    <m/>
    <m/>
    <m/>
    <m/>
    <m/>
    <m/>
    <m/>
    <n v="3"/>
    <n v="30000"/>
  </r>
  <r>
    <d v="2025-11-12T00:00:00"/>
    <n v="157"/>
    <m/>
    <m/>
    <m/>
    <m/>
    <m/>
    <m/>
    <m/>
    <m/>
    <n v="2"/>
    <m/>
    <m/>
    <m/>
    <m/>
    <m/>
    <m/>
    <m/>
    <n v="1"/>
    <n v="3"/>
    <n v="34000"/>
  </r>
  <r>
    <d v="2025-11-12T00:00:00"/>
    <n v="158"/>
    <m/>
    <m/>
    <m/>
    <m/>
    <m/>
    <n v="1"/>
    <m/>
    <m/>
    <n v="1"/>
    <m/>
    <m/>
    <m/>
    <m/>
    <m/>
    <m/>
    <n v="1"/>
    <m/>
    <n v="3"/>
    <n v="30000"/>
  </r>
  <r>
    <d v="2025-11-13T00:00:00"/>
    <n v="159"/>
    <m/>
    <n v="1"/>
    <m/>
    <m/>
    <m/>
    <m/>
    <m/>
    <m/>
    <m/>
    <m/>
    <m/>
    <m/>
    <m/>
    <m/>
    <m/>
    <m/>
    <m/>
    <n v="1"/>
    <n v="25400"/>
  </r>
  <r>
    <d v="2025-11-13T00:00:00"/>
    <n v="160"/>
    <m/>
    <m/>
    <m/>
    <m/>
    <m/>
    <m/>
    <m/>
    <m/>
    <n v="1"/>
    <m/>
    <m/>
    <m/>
    <n v="1"/>
    <m/>
    <m/>
    <m/>
    <m/>
    <n v="2"/>
    <n v="26000"/>
  </r>
  <r>
    <d v="2025-11-13T00:00:00"/>
    <n v="161"/>
    <m/>
    <n v="1"/>
    <m/>
    <m/>
    <m/>
    <m/>
    <m/>
    <m/>
    <m/>
    <n v="1"/>
    <m/>
    <m/>
    <m/>
    <m/>
    <m/>
    <m/>
    <m/>
    <n v="2"/>
    <n v="45300"/>
  </r>
  <r>
    <d v="2025-11-14T00:00:00"/>
    <n v="162"/>
    <m/>
    <m/>
    <m/>
    <m/>
    <m/>
    <n v="2"/>
    <m/>
    <m/>
    <m/>
    <m/>
    <n v="2"/>
    <m/>
    <m/>
    <m/>
    <m/>
    <m/>
    <m/>
    <n v="4"/>
    <n v="35000"/>
  </r>
  <r>
    <d v="2025-11-14T00:00:00"/>
    <n v="163"/>
    <m/>
    <m/>
    <m/>
    <m/>
    <m/>
    <m/>
    <m/>
    <m/>
    <n v="3"/>
    <m/>
    <m/>
    <m/>
    <m/>
    <m/>
    <m/>
    <m/>
    <m/>
    <n v="3"/>
    <n v="30000"/>
  </r>
  <r>
    <d v="2025-11-14T00:00:00"/>
    <n v="164"/>
    <m/>
    <m/>
    <m/>
    <m/>
    <m/>
    <m/>
    <m/>
    <m/>
    <m/>
    <m/>
    <m/>
    <m/>
    <m/>
    <m/>
    <m/>
    <m/>
    <m/>
    <n v="0"/>
    <n v="0"/>
  </r>
  <r>
    <d v="2025-11-15T00:00:00"/>
    <n v="165"/>
    <m/>
    <m/>
    <n v="1"/>
    <m/>
    <m/>
    <m/>
    <m/>
    <m/>
    <m/>
    <m/>
    <m/>
    <m/>
    <m/>
    <m/>
    <m/>
    <m/>
    <m/>
    <n v="1"/>
    <n v="31500"/>
  </r>
  <r>
    <d v="2025-11-15T00:00:00"/>
    <n v="166"/>
    <m/>
    <n v="1"/>
    <m/>
    <m/>
    <m/>
    <m/>
    <m/>
    <m/>
    <m/>
    <m/>
    <m/>
    <m/>
    <m/>
    <m/>
    <m/>
    <m/>
    <m/>
    <n v="1"/>
    <n v="25400"/>
  </r>
  <r>
    <d v="2025-11-17T00:00:00"/>
    <n v="167"/>
    <m/>
    <m/>
    <m/>
    <m/>
    <m/>
    <m/>
    <m/>
    <m/>
    <n v="1"/>
    <m/>
    <m/>
    <n v="1"/>
    <m/>
    <m/>
    <m/>
    <m/>
    <m/>
    <n v="2"/>
    <n v="34000"/>
  </r>
  <r>
    <d v="2025-11-17T00:00:00"/>
    <n v="168"/>
    <m/>
    <m/>
    <m/>
    <m/>
    <m/>
    <n v="2"/>
    <m/>
    <m/>
    <n v="3"/>
    <m/>
    <m/>
    <m/>
    <m/>
    <m/>
    <m/>
    <m/>
    <n v="2"/>
    <n v="7"/>
    <n v="78000"/>
  </r>
  <r>
    <d v="2025-11-17T00:00:00"/>
    <n v="169"/>
    <m/>
    <m/>
    <m/>
    <m/>
    <m/>
    <m/>
    <m/>
    <m/>
    <n v="0.2"/>
    <m/>
    <m/>
    <m/>
    <m/>
    <m/>
    <m/>
    <m/>
    <m/>
    <n v="0.2"/>
    <n v="2000"/>
  </r>
  <r>
    <d v="2025-11-19T00:00:00"/>
    <n v="170"/>
    <m/>
    <m/>
    <m/>
    <m/>
    <m/>
    <m/>
    <m/>
    <m/>
    <n v="2"/>
    <m/>
    <m/>
    <m/>
    <n v="1"/>
    <m/>
    <m/>
    <m/>
    <m/>
    <n v="3"/>
    <n v="36000"/>
  </r>
  <r>
    <d v="2025-11-19T00:00:00"/>
    <n v="171"/>
    <m/>
    <m/>
    <m/>
    <m/>
    <m/>
    <n v="2"/>
    <m/>
    <m/>
    <n v="0.5"/>
    <m/>
    <m/>
    <m/>
    <m/>
    <m/>
    <m/>
    <m/>
    <m/>
    <n v="2.5"/>
    <n v="25000"/>
  </r>
  <r>
    <d v="2025-11-19T00:00:00"/>
    <n v="172"/>
    <m/>
    <m/>
    <m/>
    <m/>
    <m/>
    <m/>
    <m/>
    <m/>
    <n v="2"/>
    <m/>
    <m/>
    <n v="1"/>
    <m/>
    <m/>
    <m/>
    <m/>
    <m/>
    <n v="3"/>
    <n v="44000"/>
  </r>
  <r>
    <d v="2025-11-19T00:00:00"/>
    <n v="173"/>
    <m/>
    <m/>
    <n v="1"/>
    <m/>
    <m/>
    <m/>
    <m/>
    <m/>
    <m/>
    <m/>
    <m/>
    <m/>
    <m/>
    <m/>
    <m/>
    <m/>
    <m/>
    <n v="1"/>
    <n v="31500"/>
  </r>
  <r>
    <d v="2025-11-19T00:00:00"/>
    <n v="174"/>
    <m/>
    <m/>
    <m/>
    <m/>
    <m/>
    <m/>
    <m/>
    <m/>
    <n v="3"/>
    <m/>
    <m/>
    <m/>
    <m/>
    <m/>
    <m/>
    <m/>
    <m/>
    <n v="3"/>
    <n v="30000"/>
  </r>
  <r>
    <d v="2025-11-20T00:00:00"/>
    <n v="175"/>
    <m/>
    <m/>
    <n v="1"/>
    <m/>
    <m/>
    <m/>
    <m/>
    <m/>
    <m/>
    <m/>
    <m/>
    <m/>
    <m/>
    <m/>
    <m/>
    <m/>
    <m/>
    <n v="1"/>
    <n v="31500"/>
  </r>
  <r>
    <d v="2025-11-20T00:00:00"/>
    <n v="176"/>
    <m/>
    <m/>
    <m/>
    <n v="1"/>
    <n v="1"/>
    <m/>
    <m/>
    <m/>
    <m/>
    <m/>
    <m/>
    <m/>
    <m/>
    <m/>
    <m/>
    <m/>
    <m/>
    <n v="2"/>
    <n v="115100"/>
  </r>
  <r>
    <d v="2025-11-20T00:00:00"/>
    <n v="177"/>
    <m/>
    <m/>
    <n v="2"/>
    <m/>
    <m/>
    <m/>
    <m/>
    <m/>
    <m/>
    <m/>
    <m/>
    <m/>
    <m/>
    <m/>
    <m/>
    <m/>
    <m/>
    <n v="2"/>
    <n v="63000"/>
  </r>
  <r>
    <d v="2025-11-22T00:00:00"/>
    <n v="178"/>
    <m/>
    <m/>
    <m/>
    <n v="1"/>
    <m/>
    <m/>
    <m/>
    <m/>
    <m/>
    <m/>
    <m/>
    <n v="1"/>
    <m/>
    <m/>
    <m/>
    <m/>
    <m/>
    <n v="2"/>
    <n v="105200"/>
  </r>
  <r>
    <d v="2025-11-22T00:00:00"/>
    <n v="179"/>
    <m/>
    <m/>
    <n v="1"/>
    <m/>
    <m/>
    <m/>
    <m/>
    <m/>
    <m/>
    <m/>
    <m/>
    <m/>
    <m/>
    <m/>
    <m/>
    <m/>
    <m/>
    <n v="1"/>
    <n v="31500"/>
  </r>
  <r>
    <d v="2025-11-25T00:00:00"/>
    <n v="180"/>
    <m/>
    <m/>
    <m/>
    <m/>
    <m/>
    <n v="1"/>
    <m/>
    <m/>
    <n v="1"/>
    <m/>
    <m/>
    <n v="1"/>
    <n v="1"/>
    <m/>
    <m/>
    <m/>
    <n v="1"/>
    <n v="5"/>
    <n v="74000"/>
  </r>
  <r>
    <d v="2025-11-25T00:00:00"/>
    <n v="181"/>
    <m/>
    <m/>
    <m/>
    <m/>
    <m/>
    <m/>
    <m/>
    <m/>
    <m/>
    <m/>
    <m/>
    <n v="1"/>
    <m/>
    <m/>
    <m/>
    <m/>
    <m/>
    <n v="1"/>
    <n v="24000"/>
  </r>
  <r>
    <d v="2025-11-27T00:00:00"/>
    <n v="182"/>
    <m/>
    <m/>
    <m/>
    <n v="1"/>
    <m/>
    <n v="1"/>
    <m/>
    <m/>
    <m/>
    <m/>
    <m/>
    <m/>
    <n v="1"/>
    <m/>
    <m/>
    <m/>
    <m/>
    <n v="3"/>
    <n v="107200"/>
  </r>
  <r>
    <d v="2025-11-27T00:00:00"/>
    <n v="183"/>
    <m/>
    <m/>
    <m/>
    <m/>
    <n v="1"/>
    <m/>
    <m/>
    <m/>
    <m/>
    <m/>
    <m/>
    <m/>
    <m/>
    <m/>
    <m/>
    <m/>
    <m/>
    <n v="1"/>
    <n v="33900"/>
  </r>
  <r>
    <d v="2025-11-27T00:00:00"/>
    <n v="184"/>
    <m/>
    <m/>
    <m/>
    <m/>
    <m/>
    <m/>
    <m/>
    <m/>
    <m/>
    <m/>
    <m/>
    <m/>
    <m/>
    <m/>
    <m/>
    <m/>
    <m/>
    <n v="0"/>
    <n v="25000"/>
  </r>
  <r>
    <d v="2025-12-01T00:00:00"/>
    <n v="185"/>
    <m/>
    <m/>
    <m/>
    <m/>
    <m/>
    <n v="1"/>
    <m/>
    <m/>
    <m/>
    <m/>
    <m/>
    <m/>
    <m/>
    <m/>
    <m/>
    <n v="1"/>
    <n v="1"/>
    <n v="3"/>
    <n v="34000"/>
  </r>
  <r>
    <d v="2025-12-01T00:00:00"/>
    <n v="186"/>
    <m/>
    <m/>
    <m/>
    <n v="1"/>
    <m/>
    <m/>
    <m/>
    <m/>
    <m/>
    <m/>
    <m/>
    <m/>
    <m/>
    <m/>
    <m/>
    <m/>
    <m/>
    <n v="1"/>
    <n v="81200"/>
  </r>
  <r>
    <d v="2025-12-01T00:00:00"/>
    <n v="187"/>
    <m/>
    <n v="4"/>
    <m/>
    <m/>
    <m/>
    <m/>
    <m/>
    <m/>
    <m/>
    <m/>
    <m/>
    <m/>
    <m/>
    <m/>
    <m/>
    <m/>
    <m/>
    <n v="4"/>
    <n v="101600"/>
  </r>
  <r>
    <d v="2025-12-01T00:00:00"/>
    <n v="188"/>
    <m/>
    <m/>
    <m/>
    <m/>
    <m/>
    <n v="1"/>
    <m/>
    <m/>
    <m/>
    <m/>
    <m/>
    <m/>
    <m/>
    <m/>
    <m/>
    <m/>
    <n v="1"/>
    <n v="2"/>
    <n v="34000"/>
  </r>
  <r>
    <d v="2025-12-02T00:00:00"/>
    <n v="189"/>
    <m/>
    <m/>
    <m/>
    <m/>
    <m/>
    <m/>
    <m/>
    <m/>
    <m/>
    <m/>
    <m/>
    <n v="1"/>
    <m/>
    <m/>
    <m/>
    <m/>
    <m/>
    <n v="1"/>
    <n v="34000"/>
  </r>
  <r>
    <d v="2025-12-02T00:00:00"/>
    <n v="190"/>
    <m/>
    <m/>
    <m/>
    <n v="1"/>
    <m/>
    <m/>
    <m/>
    <m/>
    <m/>
    <m/>
    <m/>
    <m/>
    <m/>
    <m/>
    <m/>
    <m/>
    <m/>
    <n v="1"/>
    <n v="81200"/>
  </r>
  <r>
    <d v="2025-12-04T00:00:00"/>
    <n v="191"/>
    <m/>
    <m/>
    <m/>
    <m/>
    <m/>
    <n v="1"/>
    <m/>
    <m/>
    <m/>
    <m/>
    <m/>
    <n v="1"/>
    <n v="0.65"/>
    <m/>
    <m/>
    <m/>
    <n v="1"/>
    <n v="3.65"/>
    <n v="58400"/>
  </r>
  <r>
    <d v="2025-12-04T00:00:00"/>
    <n v="192"/>
    <m/>
    <m/>
    <m/>
    <m/>
    <m/>
    <m/>
    <m/>
    <m/>
    <m/>
    <m/>
    <m/>
    <m/>
    <m/>
    <m/>
    <m/>
    <m/>
    <m/>
    <n v="0"/>
    <n v="25000"/>
  </r>
  <r>
    <d v="2025-12-12T00:00:00"/>
    <n v="193"/>
    <m/>
    <m/>
    <n v="1"/>
    <m/>
    <m/>
    <m/>
    <m/>
    <m/>
    <m/>
    <m/>
    <m/>
    <m/>
    <m/>
    <m/>
    <m/>
    <m/>
    <n v="1"/>
    <n v="2"/>
    <n v="45500"/>
  </r>
  <r>
    <d v="2025-12-12T00:00:00"/>
    <n v="194"/>
    <m/>
    <m/>
    <m/>
    <m/>
    <m/>
    <m/>
    <m/>
    <m/>
    <m/>
    <m/>
    <m/>
    <n v="1"/>
    <n v="1"/>
    <m/>
    <m/>
    <m/>
    <m/>
    <n v="2"/>
    <n v="50000"/>
  </r>
  <r>
    <d v="2025-12-12T00:00:00"/>
    <n v="195"/>
    <m/>
    <m/>
    <m/>
    <m/>
    <m/>
    <m/>
    <m/>
    <m/>
    <m/>
    <m/>
    <m/>
    <n v="1"/>
    <m/>
    <m/>
    <m/>
    <m/>
    <m/>
    <n v="1"/>
    <n v="29000"/>
  </r>
  <r>
    <d v="2025-12-12T00:00:00"/>
    <n v="196"/>
    <m/>
    <m/>
    <m/>
    <m/>
    <m/>
    <m/>
    <m/>
    <m/>
    <m/>
    <m/>
    <m/>
    <n v="1"/>
    <m/>
    <m/>
    <m/>
    <m/>
    <m/>
    <n v="1"/>
    <n v="29000"/>
  </r>
  <r>
    <d v="2025-12-12T00:00:00"/>
    <n v="197"/>
    <m/>
    <m/>
    <m/>
    <m/>
    <m/>
    <m/>
    <m/>
    <m/>
    <m/>
    <m/>
    <m/>
    <m/>
    <m/>
    <m/>
    <m/>
    <m/>
    <m/>
    <n v="0"/>
    <n v="80000"/>
  </r>
  <r>
    <d v="2025-12-16T00:00:00"/>
    <n v="198"/>
    <m/>
    <m/>
    <m/>
    <m/>
    <m/>
    <m/>
    <m/>
    <m/>
    <m/>
    <m/>
    <m/>
    <m/>
    <m/>
    <m/>
    <m/>
    <m/>
    <m/>
    <n v="0"/>
    <n v="40000"/>
  </r>
  <r>
    <d v="2025-12-16T00:00:00"/>
    <n v="199"/>
    <m/>
    <m/>
    <m/>
    <n v="1"/>
    <m/>
    <m/>
    <m/>
    <m/>
    <m/>
    <m/>
    <m/>
    <n v="1"/>
    <m/>
    <m/>
    <m/>
    <m/>
    <m/>
    <n v="2"/>
    <n v="105200"/>
  </r>
  <r>
    <d v="2025-12-17T00:00:00"/>
    <n v="200"/>
    <m/>
    <m/>
    <n v="1"/>
    <m/>
    <m/>
    <m/>
    <m/>
    <m/>
    <m/>
    <m/>
    <m/>
    <m/>
    <m/>
    <m/>
    <m/>
    <m/>
    <m/>
    <n v="1"/>
    <n v="31500"/>
  </r>
  <r>
    <d v="2025-12-17T00:00:00"/>
    <n v="201"/>
    <m/>
    <m/>
    <m/>
    <m/>
    <m/>
    <m/>
    <m/>
    <m/>
    <m/>
    <m/>
    <m/>
    <m/>
    <m/>
    <m/>
    <m/>
    <m/>
    <m/>
    <n v="0"/>
    <n v="85000"/>
  </r>
  <r>
    <d v="2025-12-19T00:00:00"/>
    <n v="202"/>
    <m/>
    <m/>
    <m/>
    <m/>
    <m/>
    <n v="1"/>
    <m/>
    <m/>
    <m/>
    <m/>
    <n v="2"/>
    <m/>
    <m/>
    <m/>
    <m/>
    <m/>
    <m/>
    <n v="3"/>
    <n v="25000"/>
  </r>
  <r>
    <d v="2025-12-19T00:00:00"/>
    <n v="203"/>
    <m/>
    <m/>
    <n v="15"/>
    <m/>
    <m/>
    <m/>
    <m/>
    <m/>
    <m/>
    <m/>
    <m/>
    <m/>
    <m/>
    <m/>
    <m/>
    <m/>
    <m/>
    <n v="15"/>
    <n v="472500"/>
  </r>
  <r>
    <d v="2025-12-24T00:00:00"/>
    <n v="204"/>
    <m/>
    <m/>
    <n v="1"/>
    <m/>
    <m/>
    <m/>
    <m/>
    <m/>
    <m/>
    <m/>
    <m/>
    <m/>
    <m/>
    <m/>
    <m/>
    <m/>
    <m/>
    <n v="1"/>
    <n v="31500"/>
  </r>
  <r>
    <d v="2025-12-24T00:00:00"/>
    <n v="205"/>
    <m/>
    <m/>
    <m/>
    <m/>
    <m/>
    <m/>
    <m/>
    <m/>
    <m/>
    <m/>
    <m/>
    <n v="2"/>
    <m/>
    <m/>
    <m/>
    <m/>
    <m/>
    <n v="2"/>
    <n v="4800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0">
  <r>
    <x v="0"/>
    <n v="1"/>
    <m/>
    <m/>
    <m/>
    <m/>
    <m/>
    <n v="1"/>
    <m/>
    <m/>
    <n v="1"/>
    <m/>
    <n v="1"/>
    <n v="1"/>
    <m/>
    <m/>
    <m/>
    <m/>
    <m/>
    <n v="4"/>
    <n v="51500"/>
  </r>
  <r>
    <x v="0"/>
    <n v="2"/>
    <m/>
    <n v="1"/>
    <m/>
    <m/>
    <m/>
    <m/>
    <m/>
    <m/>
    <n v="2"/>
    <m/>
    <m/>
    <m/>
    <m/>
    <m/>
    <m/>
    <m/>
    <m/>
    <n v="3"/>
    <n v="45400"/>
  </r>
  <r>
    <x v="0"/>
    <n v="3"/>
    <m/>
    <m/>
    <m/>
    <m/>
    <m/>
    <m/>
    <m/>
    <m/>
    <m/>
    <n v="1"/>
    <n v="2"/>
    <m/>
    <m/>
    <m/>
    <m/>
    <m/>
    <m/>
    <n v="3"/>
    <n v="34900"/>
  </r>
  <r>
    <x v="0"/>
    <n v="4"/>
    <m/>
    <m/>
    <m/>
    <m/>
    <m/>
    <m/>
    <m/>
    <m/>
    <m/>
    <m/>
    <m/>
    <n v="1"/>
    <m/>
    <m/>
    <m/>
    <m/>
    <m/>
    <n v="1"/>
    <n v="24000"/>
  </r>
  <r>
    <x v="0"/>
    <n v="5"/>
    <m/>
    <m/>
    <m/>
    <m/>
    <n v="1"/>
    <n v="1"/>
    <m/>
    <m/>
    <n v="1"/>
    <m/>
    <n v="1"/>
    <m/>
    <m/>
    <m/>
    <n v="1"/>
    <m/>
    <m/>
    <n v="5"/>
    <n v="77400"/>
  </r>
  <r>
    <x v="0"/>
    <n v="6"/>
    <m/>
    <m/>
    <m/>
    <m/>
    <m/>
    <m/>
    <m/>
    <m/>
    <m/>
    <n v="4"/>
    <m/>
    <m/>
    <m/>
    <m/>
    <m/>
    <m/>
    <m/>
    <n v="4"/>
    <n v="79600"/>
  </r>
  <r>
    <x v="1"/>
    <n v="7"/>
    <m/>
    <m/>
    <m/>
    <m/>
    <m/>
    <m/>
    <m/>
    <m/>
    <n v="2"/>
    <m/>
    <m/>
    <n v="1"/>
    <m/>
    <m/>
    <n v="1"/>
    <m/>
    <m/>
    <n v="4"/>
    <n v="60000"/>
  </r>
  <r>
    <x v="1"/>
    <n v="8"/>
    <m/>
    <m/>
    <m/>
    <m/>
    <m/>
    <m/>
    <m/>
    <m/>
    <m/>
    <m/>
    <n v="1"/>
    <n v="1"/>
    <m/>
    <m/>
    <n v="1"/>
    <m/>
    <m/>
    <n v="3"/>
    <n v="47500"/>
  </r>
  <r>
    <x v="1"/>
    <n v="9"/>
    <m/>
    <m/>
    <m/>
    <m/>
    <m/>
    <n v="6"/>
    <m/>
    <m/>
    <m/>
    <m/>
    <n v="10"/>
    <m/>
    <m/>
    <n v="1"/>
    <m/>
    <n v="1"/>
    <m/>
    <n v="18"/>
    <n v="170000"/>
  </r>
  <r>
    <x v="2"/>
    <n v="10"/>
    <m/>
    <m/>
    <m/>
    <m/>
    <n v="1"/>
    <m/>
    <m/>
    <m/>
    <m/>
    <m/>
    <m/>
    <m/>
    <m/>
    <m/>
    <m/>
    <m/>
    <m/>
    <n v="1"/>
    <n v="33900"/>
  </r>
  <r>
    <x v="2"/>
    <n v="11"/>
    <m/>
    <m/>
    <m/>
    <m/>
    <m/>
    <m/>
    <m/>
    <m/>
    <m/>
    <m/>
    <m/>
    <n v="1"/>
    <m/>
    <m/>
    <m/>
    <n v="1"/>
    <m/>
    <n v="2"/>
    <n v="34000"/>
  </r>
  <r>
    <x v="2"/>
    <n v="12"/>
    <m/>
    <m/>
    <m/>
    <m/>
    <m/>
    <n v="1"/>
    <m/>
    <m/>
    <m/>
    <m/>
    <n v="2"/>
    <m/>
    <m/>
    <n v="1"/>
    <m/>
    <m/>
    <m/>
    <n v="4"/>
    <n v="99000"/>
  </r>
  <r>
    <x v="2"/>
    <n v="13"/>
    <m/>
    <m/>
    <m/>
    <m/>
    <m/>
    <n v="1"/>
    <m/>
    <m/>
    <n v="1"/>
    <m/>
    <m/>
    <m/>
    <n v="1"/>
    <m/>
    <m/>
    <m/>
    <m/>
    <n v="3"/>
    <n v="36000"/>
  </r>
  <r>
    <x v="2"/>
    <n v="14"/>
    <m/>
    <m/>
    <m/>
    <m/>
    <m/>
    <m/>
    <m/>
    <m/>
    <m/>
    <n v="2"/>
    <m/>
    <m/>
    <m/>
    <m/>
    <m/>
    <m/>
    <m/>
    <n v="2"/>
    <n v="127880"/>
  </r>
  <r>
    <x v="2"/>
    <n v="15"/>
    <m/>
    <m/>
    <m/>
    <m/>
    <m/>
    <m/>
    <n v="1"/>
    <m/>
    <m/>
    <n v="1"/>
    <m/>
    <m/>
    <m/>
    <m/>
    <m/>
    <m/>
    <m/>
    <n v="2"/>
    <n v="34900"/>
  </r>
  <r>
    <x v="2"/>
    <n v="16"/>
    <m/>
    <m/>
    <m/>
    <n v="1"/>
    <m/>
    <m/>
    <m/>
    <m/>
    <m/>
    <m/>
    <m/>
    <m/>
    <m/>
    <m/>
    <m/>
    <m/>
    <m/>
    <n v="1"/>
    <n v="80000"/>
  </r>
  <r>
    <x v="2"/>
    <n v="17"/>
    <m/>
    <m/>
    <m/>
    <m/>
    <m/>
    <m/>
    <m/>
    <m/>
    <m/>
    <n v="1"/>
    <m/>
    <n v="1"/>
    <m/>
    <m/>
    <m/>
    <m/>
    <m/>
    <n v="2"/>
    <n v="43900"/>
  </r>
  <r>
    <x v="2"/>
    <n v="18"/>
    <m/>
    <m/>
    <m/>
    <m/>
    <m/>
    <m/>
    <m/>
    <m/>
    <n v="1"/>
    <m/>
    <m/>
    <m/>
    <m/>
    <m/>
    <n v="1"/>
    <m/>
    <m/>
    <n v="2"/>
    <n v="26000"/>
  </r>
  <r>
    <x v="3"/>
    <n v="19"/>
    <m/>
    <m/>
    <m/>
    <m/>
    <m/>
    <m/>
    <m/>
    <m/>
    <m/>
    <m/>
    <n v="1"/>
    <n v="1"/>
    <m/>
    <m/>
    <m/>
    <m/>
    <m/>
    <n v="2"/>
    <n v="31500"/>
  </r>
  <r>
    <x v="3"/>
    <n v="20"/>
    <m/>
    <m/>
    <m/>
    <m/>
    <m/>
    <n v="2"/>
    <m/>
    <m/>
    <n v="1"/>
    <m/>
    <n v="2"/>
    <m/>
    <m/>
    <m/>
    <m/>
    <m/>
    <m/>
    <n v="5"/>
    <n v="45000"/>
  </r>
  <r>
    <x v="3"/>
    <n v="21"/>
    <m/>
    <m/>
    <m/>
    <m/>
    <m/>
    <n v="1"/>
    <m/>
    <m/>
    <n v="1"/>
    <m/>
    <m/>
    <m/>
    <n v="1"/>
    <m/>
    <n v="1"/>
    <m/>
    <m/>
    <n v="4"/>
    <n v="52000"/>
  </r>
  <r>
    <x v="4"/>
    <n v="22"/>
    <m/>
    <m/>
    <m/>
    <m/>
    <m/>
    <n v="1"/>
    <m/>
    <m/>
    <n v="2"/>
    <m/>
    <n v="1"/>
    <m/>
    <m/>
    <m/>
    <m/>
    <m/>
    <m/>
    <n v="4"/>
    <n v="37500"/>
  </r>
  <r>
    <x v="4"/>
    <n v="23"/>
    <m/>
    <m/>
    <n v="1"/>
    <m/>
    <n v="1"/>
    <m/>
    <m/>
    <m/>
    <m/>
    <m/>
    <m/>
    <m/>
    <m/>
    <m/>
    <m/>
    <m/>
    <m/>
    <n v="2"/>
    <n v="65400"/>
  </r>
  <r>
    <x v="4"/>
    <n v="24"/>
    <m/>
    <m/>
    <n v="1"/>
    <m/>
    <m/>
    <m/>
    <m/>
    <m/>
    <n v="1"/>
    <m/>
    <m/>
    <m/>
    <m/>
    <m/>
    <m/>
    <m/>
    <m/>
    <n v="2"/>
    <n v="41500"/>
  </r>
  <r>
    <x v="5"/>
    <n v="25"/>
    <m/>
    <m/>
    <m/>
    <n v="1"/>
    <m/>
    <m/>
    <m/>
    <m/>
    <m/>
    <m/>
    <m/>
    <m/>
    <m/>
    <m/>
    <m/>
    <m/>
    <m/>
    <n v="1"/>
    <n v="80000"/>
  </r>
  <r>
    <x v="5"/>
    <n v="26"/>
    <m/>
    <m/>
    <m/>
    <m/>
    <m/>
    <n v="1"/>
    <m/>
    <m/>
    <m/>
    <m/>
    <n v="4"/>
    <m/>
    <m/>
    <m/>
    <m/>
    <m/>
    <m/>
    <n v="5"/>
    <n v="40000"/>
  </r>
  <r>
    <x v="5"/>
    <n v="27"/>
    <m/>
    <m/>
    <n v="1"/>
    <m/>
    <m/>
    <m/>
    <m/>
    <m/>
    <m/>
    <m/>
    <m/>
    <m/>
    <m/>
    <m/>
    <m/>
    <m/>
    <m/>
    <n v="1"/>
    <n v="31500"/>
  </r>
  <r>
    <x v="5"/>
    <n v="28"/>
    <m/>
    <m/>
    <n v="1"/>
    <m/>
    <m/>
    <m/>
    <m/>
    <m/>
    <m/>
    <m/>
    <m/>
    <m/>
    <m/>
    <m/>
    <m/>
    <m/>
    <m/>
    <n v="1"/>
    <n v="31500"/>
  </r>
  <r>
    <x v="5"/>
    <n v="29"/>
    <m/>
    <m/>
    <m/>
    <m/>
    <m/>
    <n v="2"/>
    <m/>
    <m/>
    <m/>
    <m/>
    <m/>
    <m/>
    <m/>
    <m/>
    <m/>
    <n v="2"/>
    <m/>
    <n v="4"/>
    <n v="40000"/>
  </r>
  <r>
    <x v="5"/>
    <n v="30"/>
    <m/>
    <m/>
    <m/>
    <m/>
    <m/>
    <n v="1"/>
    <m/>
    <m/>
    <m/>
    <m/>
    <n v="2"/>
    <m/>
    <m/>
    <m/>
    <m/>
    <m/>
    <m/>
    <n v="3"/>
    <n v="25000"/>
  </r>
  <r>
    <x v="6"/>
    <n v="31"/>
    <m/>
    <m/>
    <n v="1"/>
    <m/>
    <m/>
    <n v="1"/>
    <m/>
    <m/>
    <m/>
    <m/>
    <n v="1"/>
    <m/>
    <m/>
    <m/>
    <m/>
    <m/>
    <m/>
    <n v="3"/>
    <n v="49000"/>
  </r>
  <r>
    <x v="6"/>
    <n v="32"/>
    <m/>
    <m/>
    <m/>
    <m/>
    <m/>
    <m/>
    <m/>
    <m/>
    <m/>
    <n v="2"/>
    <m/>
    <m/>
    <m/>
    <m/>
    <m/>
    <m/>
    <m/>
    <n v="2"/>
    <n v="39800"/>
  </r>
  <r>
    <x v="6"/>
    <n v="33"/>
    <m/>
    <m/>
    <m/>
    <m/>
    <m/>
    <m/>
    <m/>
    <m/>
    <m/>
    <n v="1"/>
    <n v="1"/>
    <m/>
    <m/>
    <m/>
    <m/>
    <m/>
    <m/>
    <n v="2"/>
    <n v="27400"/>
  </r>
  <r>
    <x v="7"/>
    <m/>
    <m/>
    <m/>
    <m/>
    <m/>
    <m/>
    <m/>
    <m/>
    <m/>
    <n v="3"/>
    <m/>
    <m/>
    <m/>
    <m/>
    <m/>
    <m/>
    <m/>
    <m/>
    <n v="3"/>
    <n v="30000"/>
  </r>
  <r>
    <x v="8"/>
    <m/>
    <m/>
    <n v="1"/>
    <m/>
    <m/>
    <m/>
    <m/>
    <m/>
    <m/>
    <n v="1"/>
    <m/>
    <m/>
    <m/>
    <m/>
    <m/>
    <m/>
    <m/>
    <m/>
    <n v="2"/>
    <n v="35400"/>
  </r>
  <r>
    <x v="8"/>
    <m/>
    <m/>
    <m/>
    <n v="1"/>
    <m/>
    <m/>
    <m/>
    <m/>
    <m/>
    <m/>
    <m/>
    <m/>
    <m/>
    <m/>
    <m/>
    <m/>
    <m/>
    <m/>
    <n v="1"/>
    <n v="31500"/>
  </r>
  <r>
    <x v="7"/>
    <m/>
    <m/>
    <m/>
    <m/>
    <m/>
    <m/>
    <n v="1"/>
    <m/>
    <m/>
    <n v="2"/>
    <m/>
    <m/>
    <m/>
    <m/>
    <m/>
    <m/>
    <m/>
    <m/>
    <n v="3"/>
    <n v="30000"/>
  </r>
  <r>
    <x v="7"/>
    <m/>
    <m/>
    <m/>
    <m/>
    <m/>
    <m/>
    <n v="2"/>
    <m/>
    <m/>
    <n v="1"/>
    <m/>
    <m/>
    <m/>
    <m/>
    <m/>
    <m/>
    <m/>
    <m/>
    <n v="3"/>
    <n v="30000"/>
  </r>
  <r>
    <x v="9"/>
    <m/>
    <m/>
    <m/>
    <m/>
    <m/>
    <m/>
    <m/>
    <m/>
    <m/>
    <n v="2"/>
    <m/>
    <n v="1"/>
    <m/>
    <m/>
    <m/>
    <m/>
    <n v="1"/>
    <m/>
    <n v="4"/>
    <n v="37500"/>
  </r>
  <r>
    <x v="9"/>
    <m/>
    <m/>
    <m/>
    <m/>
    <m/>
    <m/>
    <n v="1"/>
    <m/>
    <m/>
    <m/>
    <m/>
    <n v="1"/>
    <m/>
    <m/>
    <m/>
    <m/>
    <n v="1"/>
    <m/>
    <n v="3"/>
    <n v="27500"/>
  </r>
  <r>
    <x v="9"/>
    <m/>
    <m/>
    <m/>
    <m/>
    <m/>
    <m/>
    <n v="1"/>
    <m/>
    <m/>
    <n v="2"/>
    <m/>
    <m/>
    <m/>
    <m/>
    <m/>
    <m/>
    <m/>
    <m/>
    <n v="3"/>
    <n v="30000"/>
  </r>
  <r>
    <x v="9"/>
    <m/>
    <m/>
    <m/>
    <m/>
    <m/>
    <m/>
    <m/>
    <m/>
    <m/>
    <m/>
    <n v="2"/>
    <m/>
    <m/>
    <m/>
    <m/>
    <m/>
    <m/>
    <m/>
    <n v="2"/>
    <n v="39800"/>
  </r>
  <r>
    <x v="9"/>
    <m/>
    <m/>
    <m/>
    <m/>
    <m/>
    <m/>
    <n v="1"/>
    <m/>
    <m/>
    <m/>
    <m/>
    <n v="2"/>
    <n v="0.5"/>
    <m/>
    <m/>
    <n v="1"/>
    <m/>
    <m/>
    <n v="4.5"/>
    <n v="53000"/>
  </r>
  <r>
    <x v="8"/>
    <m/>
    <m/>
    <m/>
    <m/>
    <n v="1"/>
    <m/>
    <m/>
    <m/>
    <m/>
    <m/>
    <m/>
    <m/>
    <m/>
    <m/>
    <m/>
    <m/>
    <m/>
    <m/>
    <n v="1"/>
    <n v="81200"/>
  </r>
  <r>
    <x v="9"/>
    <m/>
    <m/>
    <m/>
    <m/>
    <m/>
    <m/>
    <n v="1"/>
    <m/>
    <m/>
    <m/>
    <n v="1"/>
    <m/>
    <m/>
    <m/>
    <m/>
    <m/>
    <m/>
    <m/>
    <n v="2"/>
    <n v="29900"/>
  </r>
  <r>
    <x v="7"/>
    <m/>
    <m/>
    <m/>
    <m/>
    <n v="2"/>
    <m/>
    <m/>
    <m/>
    <m/>
    <n v="1"/>
    <m/>
    <m/>
    <m/>
    <m/>
    <m/>
    <m/>
    <m/>
    <m/>
    <n v="3"/>
    <n v="172400"/>
  </r>
  <r>
    <x v="10"/>
    <n v="34"/>
    <m/>
    <n v="1"/>
    <m/>
    <m/>
    <m/>
    <m/>
    <m/>
    <m/>
    <n v="1"/>
    <m/>
    <m/>
    <m/>
    <n v="1"/>
    <m/>
    <m/>
    <m/>
    <m/>
    <n v="3"/>
    <n v="51400"/>
  </r>
  <r>
    <x v="10"/>
    <n v="35"/>
    <m/>
    <m/>
    <m/>
    <m/>
    <m/>
    <m/>
    <m/>
    <m/>
    <m/>
    <n v="3"/>
    <m/>
    <m/>
    <m/>
    <m/>
    <m/>
    <m/>
    <m/>
    <n v="3"/>
    <n v="59700"/>
  </r>
  <r>
    <x v="10"/>
    <n v="36"/>
    <m/>
    <m/>
    <m/>
    <m/>
    <m/>
    <m/>
    <m/>
    <m/>
    <m/>
    <m/>
    <m/>
    <n v="1"/>
    <m/>
    <m/>
    <n v="1"/>
    <m/>
    <m/>
    <n v="2"/>
    <n v="40000"/>
  </r>
  <r>
    <x v="10"/>
    <n v="37"/>
    <m/>
    <m/>
    <m/>
    <m/>
    <m/>
    <m/>
    <m/>
    <m/>
    <n v="1"/>
    <m/>
    <m/>
    <n v="1"/>
    <m/>
    <m/>
    <n v="1"/>
    <m/>
    <m/>
    <n v="3"/>
    <n v="50000"/>
  </r>
  <r>
    <x v="11"/>
    <n v="38"/>
    <m/>
    <m/>
    <m/>
    <m/>
    <m/>
    <m/>
    <m/>
    <m/>
    <n v="1"/>
    <m/>
    <m/>
    <m/>
    <m/>
    <m/>
    <n v="1"/>
    <m/>
    <m/>
    <n v="2"/>
    <n v="26000"/>
  </r>
  <r>
    <x v="11"/>
    <n v="39"/>
    <m/>
    <m/>
    <m/>
    <m/>
    <m/>
    <m/>
    <m/>
    <m/>
    <m/>
    <m/>
    <m/>
    <n v="1"/>
    <n v="1"/>
    <m/>
    <n v="1"/>
    <n v="1"/>
    <m/>
    <n v="4"/>
    <n v="66000"/>
  </r>
  <r>
    <x v="11"/>
    <n v="40"/>
    <m/>
    <m/>
    <m/>
    <m/>
    <m/>
    <n v="1"/>
    <m/>
    <m/>
    <n v="1"/>
    <m/>
    <n v="1"/>
    <m/>
    <m/>
    <m/>
    <m/>
    <m/>
    <m/>
    <n v="3"/>
    <n v="27500"/>
  </r>
  <r>
    <x v="11"/>
    <n v="41"/>
    <m/>
    <m/>
    <m/>
    <m/>
    <m/>
    <m/>
    <m/>
    <m/>
    <m/>
    <m/>
    <m/>
    <m/>
    <n v="1"/>
    <m/>
    <n v="1"/>
    <m/>
    <m/>
    <n v="2"/>
    <n v="32000"/>
  </r>
  <r>
    <x v="11"/>
    <n v="42"/>
    <m/>
    <m/>
    <m/>
    <m/>
    <m/>
    <m/>
    <m/>
    <m/>
    <n v="1"/>
    <m/>
    <m/>
    <n v="1"/>
    <m/>
    <m/>
    <m/>
    <m/>
    <m/>
    <n v="2"/>
    <n v="38800"/>
  </r>
  <r>
    <x v="12"/>
    <n v="43"/>
    <m/>
    <m/>
    <m/>
    <m/>
    <m/>
    <m/>
    <m/>
    <m/>
    <m/>
    <m/>
    <m/>
    <n v="1"/>
    <m/>
    <m/>
    <n v="1"/>
    <m/>
    <m/>
    <n v="2"/>
    <n v="40000"/>
  </r>
  <r>
    <x v="12"/>
    <n v="44"/>
    <m/>
    <m/>
    <m/>
    <m/>
    <m/>
    <n v="1"/>
    <m/>
    <m/>
    <m/>
    <m/>
    <m/>
    <m/>
    <m/>
    <n v="1"/>
    <m/>
    <m/>
    <m/>
    <n v="2"/>
    <n v="35000"/>
  </r>
  <r>
    <x v="12"/>
    <n v="45"/>
    <m/>
    <m/>
    <m/>
    <m/>
    <m/>
    <n v="1"/>
    <m/>
    <m/>
    <n v="1"/>
    <m/>
    <n v="1"/>
    <m/>
    <m/>
    <m/>
    <m/>
    <m/>
    <m/>
    <n v="3"/>
    <n v="27500"/>
  </r>
  <r>
    <x v="12"/>
    <n v="46"/>
    <m/>
    <m/>
    <m/>
    <m/>
    <m/>
    <m/>
    <m/>
    <m/>
    <m/>
    <m/>
    <m/>
    <n v="1"/>
    <n v="1"/>
    <m/>
    <m/>
    <m/>
    <m/>
    <n v="2"/>
    <n v="40000"/>
  </r>
  <r>
    <x v="13"/>
    <n v="47"/>
    <m/>
    <m/>
    <m/>
    <m/>
    <m/>
    <m/>
    <m/>
    <m/>
    <n v="1"/>
    <m/>
    <m/>
    <m/>
    <m/>
    <m/>
    <n v="1"/>
    <n v="1"/>
    <m/>
    <n v="3"/>
    <n v="36000"/>
  </r>
  <r>
    <x v="13"/>
    <n v="48"/>
    <m/>
    <m/>
    <n v="2"/>
    <m/>
    <m/>
    <m/>
    <m/>
    <m/>
    <m/>
    <m/>
    <m/>
    <m/>
    <m/>
    <m/>
    <m/>
    <m/>
    <m/>
    <n v="2"/>
    <n v="63000"/>
  </r>
  <r>
    <x v="13"/>
    <n v="49"/>
    <m/>
    <m/>
    <m/>
    <m/>
    <m/>
    <m/>
    <m/>
    <m/>
    <m/>
    <m/>
    <m/>
    <m/>
    <m/>
    <m/>
    <m/>
    <m/>
    <m/>
    <n v="0"/>
    <n v="30000"/>
  </r>
  <r>
    <x v="13"/>
    <n v="50"/>
    <m/>
    <m/>
    <m/>
    <m/>
    <m/>
    <m/>
    <m/>
    <m/>
    <m/>
    <m/>
    <n v="1"/>
    <n v="1"/>
    <m/>
    <m/>
    <m/>
    <m/>
    <m/>
    <n v="2"/>
    <n v="31500"/>
  </r>
  <r>
    <x v="13"/>
    <n v="51"/>
    <m/>
    <m/>
    <m/>
    <m/>
    <m/>
    <n v="1"/>
    <m/>
    <m/>
    <n v="1"/>
    <m/>
    <n v="1"/>
    <m/>
    <m/>
    <m/>
    <m/>
    <m/>
    <m/>
    <n v="3"/>
    <n v="27500"/>
  </r>
  <r>
    <x v="13"/>
    <n v="52"/>
    <m/>
    <m/>
    <m/>
    <m/>
    <m/>
    <m/>
    <m/>
    <m/>
    <m/>
    <n v="2"/>
    <m/>
    <m/>
    <m/>
    <m/>
    <m/>
    <m/>
    <m/>
    <n v="2"/>
    <n v="39800"/>
  </r>
  <r>
    <x v="14"/>
    <n v="53"/>
    <m/>
    <m/>
    <m/>
    <m/>
    <m/>
    <m/>
    <m/>
    <m/>
    <n v="1"/>
    <m/>
    <n v="1"/>
    <m/>
    <n v="1"/>
    <m/>
    <m/>
    <m/>
    <m/>
    <n v="3"/>
    <n v="33500"/>
  </r>
  <r>
    <x v="14"/>
    <n v="54"/>
    <m/>
    <m/>
    <m/>
    <m/>
    <m/>
    <n v="1"/>
    <m/>
    <m/>
    <m/>
    <m/>
    <m/>
    <m/>
    <m/>
    <m/>
    <n v="1"/>
    <m/>
    <m/>
    <n v="2"/>
    <n v="26000"/>
  </r>
  <r>
    <x v="15"/>
    <n v="55"/>
    <m/>
    <m/>
    <m/>
    <m/>
    <m/>
    <m/>
    <m/>
    <m/>
    <m/>
    <m/>
    <m/>
    <n v="1"/>
    <m/>
    <m/>
    <m/>
    <n v="1"/>
    <m/>
    <n v="2"/>
    <n v="34000"/>
  </r>
  <r>
    <x v="15"/>
    <n v="56"/>
    <m/>
    <m/>
    <m/>
    <m/>
    <m/>
    <m/>
    <m/>
    <m/>
    <n v="1"/>
    <m/>
    <n v="1"/>
    <m/>
    <m/>
    <m/>
    <n v="1"/>
    <m/>
    <m/>
    <n v="3"/>
    <n v="33500"/>
  </r>
  <r>
    <x v="15"/>
    <n v="57"/>
    <m/>
    <m/>
    <m/>
    <m/>
    <m/>
    <n v="1"/>
    <m/>
    <m/>
    <m/>
    <n v="1"/>
    <m/>
    <m/>
    <m/>
    <m/>
    <m/>
    <n v="1"/>
    <m/>
    <n v="3"/>
    <n v="39900"/>
  </r>
  <r>
    <x v="16"/>
    <n v="58"/>
    <m/>
    <m/>
    <m/>
    <m/>
    <m/>
    <n v="1"/>
    <m/>
    <m/>
    <m/>
    <n v="1"/>
    <n v="1"/>
    <m/>
    <m/>
    <n v="1"/>
    <n v="1"/>
    <m/>
    <m/>
    <n v="5"/>
    <n v="78400"/>
  </r>
  <r>
    <x v="16"/>
    <n v="59"/>
    <m/>
    <m/>
    <m/>
    <m/>
    <m/>
    <n v="1"/>
    <m/>
    <m/>
    <m/>
    <n v="1"/>
    <n v="1"/>
    <m/>
    <n v="1"/>
    <m/>
    <m/>
    <m/>
    <m/>
    <n v="4"/>
    <n v="53400"/>
  </r>
  <r>
    <x v="16"/>
    <n v="60"/>
    <m/>
    <m/>
    <m/>
    <m/>
    <m/>
    <m/>
    <m/>
    <m/>
    <m/>
    <m/>
    <m/>
    <n v="1"/>
    <n v="0.5"/>
    <m/>
    <m/>
    <n v="1"/>
    <m/>
    <n v="2.5"/>
    <n v="42000"/>
  </r>
  <r>
    <x v="16"/>
    <n v="61"/>
    <m/>
    <m/>
    <m/>
    <m/>
    <m/>
    <m/>
    <m/>
    <m/>
    <n v="1"/>
    <n v="1"/>
    <m/>
    <m/>
    <m/>
    <m/>
    <m/>
    <m/>
    <m/>
    <n v="2"/>
    <n v="44900"/>
  </r>
  <r>
    <x v="16"/>
    <n v="62"/>
    <m/>
    <m/>
    <m/>
    <m/>
    <m/>
    <n v="1"/>
    <m/>
    <m/>
    <m/>
    <m/>
    <n v="2"/>
    <m/>
    <m/>
    <m/>
    <m/>
    <m/>
    <m/>
    <n v="3"/>
    <n v="25000"/>
  </r>
  <r>
    <x v="16"/>
    <n v="63"/>
    <m/>
    <m/>
    <m/>
    <m/>
    <m/>
    <n v="1"/>
    <m/>
    <m/>
    <m/>
    <n v="1"/>
    <n v="1"/>
    <m/>
    <m/>
    <m/>
    <m/>
    <m/>
    <m/>
    <n v="3"/>
    <n v="37400"/>
  </r>
  <r>
    <x v="17"/>
    <n v="64"/>
    <m/>
    <m/>
    <m/>
    <m/>
    <m/>
    <n v="1"/>
    <m/>
    <m/>
    <n v="1"/>
    <m/>
    <n v="1"/>
    <n v="1"/>
    <m/>
    <m/>
    <m/>
    <m/>
    <m/>
    <n v="4"/>
    <n v="51500"/>
  </r>
  <r>
    <x v="17"/>
    <n v="65"/>
    <m/>
    <m/>
    <m/>
    <n v="1"/>
    <n v="1"/>
    <m/>
    <m/>
    <m/>
    <m/>
    <m/>
    <m/>
    <m/>
    <m/>
    <m/>
    <m/>
    <m/>
    <m/>
    <n v="2"/>
    <n v="115100"/>
  </r>
  <r>
    <x v="17"/>
    <n v="66"/>
    <m/>
    <m/>
    <m/>
    <m/>
    <m/>
    <n v="1"/>
    <m/>
    <m/>
    <n v="1"/>
    <m/>
    <n v="1"/>
    <m/>
    <m/>
    <m/>
    <m/>
    <m/>
    <m/>
    <n v="3"/>
    <n v="27500"/>
  </r>
  <r>
    <x v="17"/>
    <n v="67"/>
    <m/>
    <m/>
    <m/>
    <m/>
    <m/>
    <n v="1"/>
    <m/>
    <m/>
    <n v="1"/>
    <m/>
    <n v="1"/>
    <m/>
    <m/>
    <m/>
    <m/>
    <m/>
    <m/>
    <n v="3"/>
    <n v="27500"/>
  </r>
  <r>
    <x v="17"/>
    <n v="68"/>
    <m/>
    <n v="1"/>
    <m/>
    <m/>
    <m/>
    <m/>
    <m/>
    <m/>
    <m/>
    <m/>
    <m/>
    <m/>
    <m/>
    <m/>
    <m/>
    <m/>
    <m/>
    <n v="1"/>
    <n v="25400"/>
  </r>
  <r>
    <x v="17"/>
    <n v="69"/>
    <m/>
    <m/>
    <n v="1"/>
    <m/>
    <m/>
    <n v="1"/>
    <m/>
    <m/>
    <n v="1"/>
    <m/>
    <n v="1"/>
    <m/>
    <m/>
    <m/>
    <m/>
    <m/>
    <m/>
    <n v="4"/>
    <n v="59000"/>
  </r>
  <r>
    <x v="17"/>
    <n v="70"/>
    <m/>
    <m/>
    <n v="1"/>
    <m/>
    <m/>
    <m/>
    <m/>
    <m/>
    <m/>
    <m/>
    <m/>
    <m/>
    <m/>
    <m/>
    <m/>
    <m/>
    <m/>
    <n v="1"/>
    <n v="31500"/>
  </r>
  <r>
    <x v="17"/>
    <n v="71"/>
    <m/>
    <m/>
    <m/>
    <m/>
    <m/>
    <m/>
    <m/>
    <m/>
    <m/>
    <m/>
    <n v="4"/>
    <m/>
    <m/>
    <m/>
    <m/>
    <m/>
    <m/>
    <n v="4"/>
    <n v="30000"/>
  </r>
  <r>
    <x v="18"/>
    <n v="72"/>
    <m/>
    <m/>
    <m/>
    <m/>
    <m/>
    <m/>
    <m/>
    <m/>
    <n v="3"/>
    <m/>
    <m/>
    <n v="1"/>
    <m/>
    <m/>
    <m/>
    <m/>
    <m/>
    <n v="4"/>
    <n v="54000"/>
  </r>
  <r>
    <x v="18"/>
    <n v="73"/>
    <m/>
    <m/>
    <m/>
    <n v="1"/>
    <m/>
    <m/>
    <m/>
    <m/>
    <m/>
    <m/>
    <m/>
    <m/>
    <m/>
    <m/>
    <m/>
    <m/>
    <m/>
    <n v="1"/>
    <n v="81200"/>
  </r>
  <r>
    <x v="18"/>
    <n v="74"/>
    <m/>
    <m/>
    <m/>
    <m/>
    <m/>
    <m/>
    <m/>
    <m/>
    <n v="1"/>
    <n v="1"/>
    <n v="1"/>
    <m/>
    <m/>
    <m/>
    <m/>
    <m/>
    <m/>
    <n v="3"/>
    <n v="37400"/>
  </r>
  <r>
    <x v="18"/>
    <n v="75"/>
    <m/>
    <m/>
    <m/>
    <m/>
    <m/>
    <m/>
    <m/>
    <m/>
    <m/>
    <n v="5"/>
    <m/>
    <m/>
    <m/>
    <m/>
    <m/>
    <m/>
    <m/>
    <n v="5"/>
    <n v="99500"/>
  </r>
  <r>
    <x v="18"/>
    <n v="76"/>
    <m/>
    <n v="1"/>
    <m/>
    <m/>
    <m/>
    <n v="1"/>
    <m/>
    <m/>
    <n v="1"/>
    <m/>
    <n v="1"/>
    <m/>
    <m/>
    <m/>
    <m/>
    <m/>
    <m/>
    <n v="4"/>
    <n v="52900"/>
  </r>
  <r>
    <x v="18"/>
    <n v="77"/>
    <m/>
    <m/>
    <m/>
    <n v="1"/>
    <m/>
    <m/>
    <m/>
    <m/>
    <m/>
    <m/>
    <m/>
    <m/>
    <m/>
    <m/>
    <m/>
    <m/>
    <m/>
    <n v="1"/>
    <n v="80000"/>
  </r>
  <r>
    <x v="18"/>
    <n v="78"/>
    <m/>
    <m/>
    <m/>
    <m/>
    <m/>
    <n v="1"/>
    <m/>
    <m/>
    <m/>
    <m/>
    <n v="2"/>
    <m/>
    <m/>
    <m/>
    <m/>
    <m/>
    <m/>
    <n v="3"/>
    <n v="25000"/>
  </r>
  <r>
    <x v="18"/>
    <n v="79"/>
    <m/>
    <m/>
    <m/>
    <m/>
    <m/>
    <n v="1"/>
    <m/>
    <m/>
    <n v="1"/>
    <m/>
    <n v="1"/>
    <m/>
    <m/>
    <m/>
    <m/>
    <m/>
    <m/>
    <n v="3"/>
    <n v="27500"/>
  </r>
  <r>
    <x v="18"/>
    <n v="80"/>
    <m/>
    <m/>
    <m/>
    <m/>
    <m/>
    <n v="1"/>
    <m/>
    <m/>
    <m/>
    <m/>
    <n v="1"/>
    <m/>
    <m/>
    <m/>
    <m/>
    <m/>
    <m/>
    <n v="2"/>
    <n v="17500"/>
  </r>
  <r>
    <x v="18"/>
    <n v="81"/>
    <m/>
    <n v="1"/>
    <m/>
    <m/>
    <m/>
    <m/>
    <m/>
    <m/>
    <m/>
    <m/>
    <m/>
    <m/>
    <m/>
    <m/>
    <m/>
    <m/>
    <m/>
    <n v="1"/>
    <n v="25400"/>
  </r>
  <r>
    <x v="18"/>
    <n v="82"/>
    <m/>
    <m/>
    <m/>
    <m/>
    <m/>
    <m/>
    <m/>
    <m/>
    <m/>
    <n v="18"/>
    <m/>
    <m/>
    <m/>
    <m/>
    <m/>
    <m/>
    <m/>
    <n v="18"/>
    <n v="358200"/>
  </r>
  <r>
    <x v="19"/>
    <n v="83"/>
    <m/>
    <m/>
    <m/>
    <m/>
    <m/>
    <m/>
    <m/>
    <m/>
    <n v="1"/>
    <n v="1"/>
    <m/>
    <m/>
    <m/>
    <m/>
    <m/>
    <m/>
    <m/>
    <n v="2"/>
    <n v="29900"/>
  </r>
  <r>
    <x v="19"/>
    <n v="84"/>
    <m/>
    <m/>
    <m/>
    <n v="1"/>
    <m/>
    <m/>
    <m/>
    <m/>
    <n v="2"/>
    <m/>
    <m/>
    <m/>
    <m/>
    <m/>
    <m/>
    <m/>
    <m/>
    <n v="3"/>
    <n v="101200"/>
  </r>
  <r>
    <x v="19"/>
    <n v="85"/>
    <m/>
    <n v="1"/>
    <m/>
    <m/>
    <m/>
    <m/>
    <m/>
    <m/>
    <m/>
    <m/>
    <m/>
    <m/>
    <m/>
    <m/>
    <m/>
    <m/>
    <m/>
    <n v="1"/>
    <n v="25400"/>
  </r>
  <r>
    <x v="19"/>
    <n v="86"/>
    <m/>
    <m/>
    <m/>
    <m/>
    <m/>
    <m/>
    <m/>
    <m/>
    <n v="1"/>
    <m/>
    <m/>
    <n v="1"/>
    <n v="1"/>
    <m/>
    <m/>
    <n v="1"/>
    <m/>
    <n v="4"/>
    <n v="60000"/>
  </r>
  <r>
    <x v="19"/>
    <n v="87"/>
    <m/>
    <m/>
    <m/>
    <m/>
    <m/>
    <m/>
    <m/>
    <m/>
    <m/>
    <n v="2"/>
    <m/>
    <m/>
    <m/>
    <m/>
    <m/>
    <m/>
    <m/>
    <n v="2"/>
    <n v="39800"/>
  </r>
  <r>
    <x v="20"/>
    <n v="88"/>
    <m/>
    <m/>
    <m/>
    <m/>
    <m/>
    <m/>
    <m/>
    <m/>
    <m/>
    <m/>
    <m/>
    <n v="1"/>
    <n v="1"/>
    <m/>
    <m/>
    <m/>
    <m/>
    <n v="2"/>
    <n v="40000"/>
  </r>
  <r>
    <x v="20"/>
    <n v="89"/>
    <m/>
    <m/>
    <m/>
    <n v="1"/>
    <n v="1"/>
    <m/>
    <m/>
    <m/>
    <m/>
    <m/>
    <m/>
    <m/>
    <m/>
    <m/>
    <m/>
    <m/>
    <m/>
    <n v="2"/>
    <n v="115100"/>
  </r>
  <r>
    <x v="20"/>
    <n v="90"/>
    <m/>
    <m/>
    <m/>
    <m/>
    <m/>
    <n v="1"/>
    <m/>
    <m/>
    <n v="1"/>
    <m/>
    <m/>
    <m/>
    <m/>
    <m/>
    <m/>
    <n v="1"/>
    <m/>
    <n v="3"/>
    <n v="30000"/>
  </r>
  <r>
    <x v="20"/>
    <n v="91"/>
    <m/>
    <m/>
    <m/>
    <n v="1"/>
    <m/>
    <m/>
    <m/>
    <m/>
    <m/>
    <m/>
    <m/>
    <m/>
    <m/>
    <m/>
    <m/>
    <m/>
    <m/>
    <n v="1"/>
    <n v="81200"/>
  </r>
  <r>
    <x v="21"/>
    <n v="92"/>
    <m/>
    <m/>
    <n v="1"/>
    <n v="1"/>
    <m/>
    <n v="1"/>
    <m/>
    <m/>
    <n v="1"/>
    <m/>
    <m/>
    <m/>
    <m/>
    <m/>
    <m/>
    <m/>
    <m/>
    <n v="4"/>
    <n v="132700"/>
  </r>
  <r>
    <x v="21"/>
    <n v="93"/>
    <m/>
    <n v="1"/>
    <m/>
    <m/>
    <m/>
    <m/>
    <m/>
    <m/>
    <n v="1"/>
    <m/>
    <m/>
    <m/>
    <m/>
    <m/>
    <m/>
    <m/>
    <m/>
    <n v="2"/>
    <n v="35400"/>
  </r>
  <r>
    <x v="21"/>
    <n v="94"/>
    <m/>
    <m/>
    <n v="1"/>
    <m/>
    <m/>
    <m/>
    <m/>
    <m/>
    <m/>
    <m/>
    <m/>
    <m/>
    <m/>
    <m/>
    <m/>
    <m/>
    <m/>
    <n v="1"/>
    <n v="31500"/>
  </r>
  <r>
    <x v="21"/>
    <n v="95"/>
    <m/>
    <m/>
    <m/>
    <m/>
    <m/>
    <m/>
    <m/>
    <m/>
    <m/>
    <m/>
    <m/>
    <m/>
    <m/>
    <m/>
    <m/>
    <n v="3"/>
    <m/>
    <n v="3"/>
    <n v="30000"/>
  </r>
  <r>
    <x v="21"/>
    <n v="96"/>
    <m/>
    <m/>
    <m/>
    <m/>
    <m/>
    <n v="1"/>
    <m/>
    <m/>
    <m/>
    <m/>
    <m/>
    <n v="1"/>
    <m/>
    <m/>
    <m/>
    <m/>
    <m/>
    <n v="2"/>
    <n v="34000"/>
  </r>
  <r>
    <x v="21"/>
    <n v="97"/>
    <m/>
    <m/>
    <m/>
    <n v="1"/>
    <m/>
    <n v="1"/>
    <m/>
    <m/>
    <m/>
    <m/>
    <m/>
    <m/>
    <m/>
    <m/>
    <m/>
    <m/>
    <m/>
    <n v="2"/>
    <n v="91200"/>
  </r>
  <r>
    <x v="22"/>
    <n v="98"/>
    <m/>
    <m/>
    <n v="1"/>
    <m/>
    <m/>
    <m/>
    <m/>
    <m/>
    <m/>
    <m/>
    <m/>
    <m/>
    <m/>
    <m/>
    <m/>
    <m/>
    <m/>
    <n v="1"/>
    <n v="31500"/>
  </r>
  <r>
    <x v="22"/>
    <n v="99"/>
    <m/>
    <n v="1"/>
    <m/>
    <m/>
    <m/>
    <m/>
    <m/>
    <m/>
    <m/>
    <m/>
    <m/>
    <m/>
    <m/>
    <m/>
    <m/>
    <m/>
    <m/>
    <n v="1"/>
    <n v="25400"/>
  </r>
  <r>
    <x v="22"/>
    <n v="100"/>
    <m/>
    <n v="1"/>
    <m/>
    <m/>
    <m/>
    <m/>
    <m/>
    <m/>
    <m/>
    <m/>
    <m/>
    <m/>
    <m/>
    <m/>
    <m/>
    <m/>
    <m/>
    <n v="1"/>
    <n v="25400"/>
  </r>
  <r>
    <x v="22"/>
    <n v="101"/>
    <m/>
    <m/>
    <m/>
    <m/>
    <m/>
    <n v="2"/>
    <m/>
    <m/>
    <m/>
    <m/>
    <m/>
    <n v="1"/>
    <m/>
    <m/>
    <m/>
    <m/>
    <m/>
    <n v="3"/>
    <n v="44000"/>
  </r>
  <r>
    <x v="23"/>
    <n v="102"/>
    <m/>
    <m/>
    <m/>
    <m/>
    <m/>
    <n v="1"/>
    <m/>
    <m/>
    <n v="1"/>
    <m/>
    <m/>
    <m/>
    <m/>
    <m/>
    <m/>
    <n v="1"/>
    <m/>
    <n v="3"/>
    <n v="30000"/>
  </r>
  <r>
    <x v="23"/>
    <n v="103"/>
    <m/>
    <m/>
    <m/>
    <m/>
    <m/>
    <m/>
    <m/>
    <m/>
    <m/>
    <n v="2"/>
    <m/>
    <m/>
    <m/>
    <m/>
    <m/>
    <m/>
    <m/>
    <n v="2"/>
    <n v="39800"/>
  </r>
  <r>
    <x v="23"/>
    <n v="104"/>
    <m/>
    <m/>
    <m/>
    <m/>
    <m/>
    <m/>
    <m/>
    <m/>
    <n v="3"/>
    <m/>
    <m/>
    <m/>
    <m/>
    <m/>
    <m/>
    <m/>
    <m/>
    <n v="3"/>
    <n v="30000"/>
  </r>
  <r>
    <x v="23"/>
    <n v="105"/>
    <m/>
    <m/>
    <m/>
    <m/>
    <m/>
    <n v="2"/>
    <m/>
    <m/>
    <n v="1"/>
    <m/>
    <m/>
    <m/>
    <m/>
    <m/>
    <m/>
    <m/>
    <m/>
    <n v="3"/>
    <n v="30000"/>
  </r>
  <r>
    <x v="24"/>
    <n v="106"/>
    <m/>
    <m/>
    <m/>
    <m/>
    <m/>
    <n v="1"/>
    <m/>
    <m/>
    <n v="1"/>
    <m/>
    <m/>
    <m/>
    <n v="1"/>
    <m/>
    <m/>
    <n v="1"/>
    <m/>
    <n v="4"/>
    <n v="46000"/>
  </r>
  <r>
    <x v="24"/>
    <n v="107"/>
    <m/>
    <m/>
    <m/>
    <m/>
    <m/>
    <m/>
    <m/>
    <m/>
    <m/>
    <m/>
    <m/>
    <n v="1"/>
    <m/>
    <m/>
    <m/>
    <n v="1"/>
    <m/>
    <n v="2"/>
    <n v="34000"/>
  </r>
  <r>
    <x v="24"/>
    <n v="108"/>
    <m/>
    <m/>
    <m/>
    <m/>
    <m/>
    <m/>
    <m/>
    <m/>
    <n v="5"/>
    <m/>
    <m/>
    <m/>
    <m/>
    <m/>
    <m/>
    <m/>
    <m/>
    <n v="5"/>
    <n v="50000"/>
  </r>
  <r>
    <x v="25"/>
    <n v="109"/>
    <m/>
    <m/>
    <m/>
    <m/>
    <m/>
    <m/>
    <m/>
    <m/>
    <n v="1"/>
    <m/>
    <m/>
    <n v="2"/>
    <m/>
    <m/>
    <m/>
    <n v="2"/>
    <m/>
    <n v="5"/>
    <n v="78000"/>
  </r>
  <r>
    <x v="25"/>
    <n v="110"/>
    <m/>
    <m/>
    <m/>
    <m/>
    <m/>
    <m/>
    <m/>
    <m/>
    <m/>
    <n v="2"/>
    <m/>
    <m/>
    <m/>
    <m/>
    <m/>
    <m/>
    <m/>
    <n v="2"/>
    <n v="39800"/>
  </r>
  <r>
    <x v="25"/>
    <n v="111"/>
    <m/>
    <m/>
    <m/>
    <m/>
    <m/>
    <n v="3"/>
    <m/>
    <m/>
    <m/>
    <m/>
    <m/>
    <m/>
    <m/>
    <m/>
    <m/>
    <m/>
    <m/>
    <n v="3"/>
    <n v="30000"/>
  </r>
  <r>
    <x v="25"/>
    <n v="112"/>
    <m/>
    <m/>
    <n v="1"/>
    <m/>
    <m/>
    <n v="1"/>
    <m/>
    <m/>
    <n v="1"/>
    <m/>
    <m/>
    <m/>
    <m/>
    <m/>
    <m/>
    <m/>
    <m/>
    <n v="3"/>
    <n v="51500"/>
  </r>
  <r>
    <x v="26"/>
    <n v="113"/>
    <m/>
    <m/>
    <n v="1"/>
    <m/>
    <m/>
    <m/>
    <m/>
    <m/>
    <n v="1"/>
    <m/>
    <m/>
    <m/>
    <m/>
    <m/>
    <m/>
    <m/>
    <m/>
    <n v="2"/>
    <n v="41500"/>
  </r>
  <r>
    <x v="26"/>
    <n v="114"/>
    <m/>
    <m/>
    <m/>
    <m/>
    <m/>
    <m/>
    <m/>
    <m/>
    <n v="0.5"/>
    <m/>
    <m/>
    <n v="1"/>
    <m/>
    <m/>
    <m/>
    <m/>
    <m/>
    <n v="1.5"/>
    <n v="29000"/>
  </r>
  <r>
    <x v="27"/>
    <n v="115"/>
    <m/>
    <m/>
    <m/>
    <m/>
    <m/>
    <n v="1"/>
    <m/>
    <m/>
    <n v="1"/>
    <n v="1"/>
    <m/>
    <m/>
    <m/>
    <m/>
    <m/>
    <m/>
    <m/>
    <n v="3"/>
    <n v="39900"/>
  </r>
  <r>
    <x v="27"/>
    <n v="116"/>
    <m/>
    <m/>
    <n v="1"/>
    <m/>
    <m/>
    <m/>
    <m/>
    <m/>
    <m/>
    <m/>
    <m/>
    <m/>
    <m/>
    <m/>
    <m/>
    <m/>
    <m/>
    <n v="1"/>
    <n v="31500"/>
  </r>
  <r>
    <x v="27"/>
    <n v="117"/>
    <m/>
    <m/>
    <m/>
    <m/>
    <m/>
    <n v="1"/>
    <m/>
    <m/>
    <n v="1.5"/>
    <m/>
    <m/>
    <m/>
    <m/>
    <m/>
    <m/>
    <m/>
    <m/>
    <n v="2.5"/>
    <n v="25000"/>
  </r>
  <r>
    <x v="28"/>
    <n v="118"/>
    <m/>
    <m/>
    <m/>
    <m/>
    <m/>
    <n v="1"/>
    <m/>
    <m/>
    <n v="1"/>
    <m/>
    <m/>
    <n v="1"/>
    <n v="1"/>
    <m/>
    <m/>
    <n v="1"/>
    <m/>
    <n v="5"/>
    <n v="70000"/>
  </r>
  <r>
    <x v="28"/>
    <n v="119"/>
    <m/>
    <m/>
    <m/>
    <m/>
    <m/>
    <m/>
    <m/>
    <m/>
    <n v="1"/>
    <m/>
    <m/>
    <m/>
    <m/>
    <m/>
    <m/>
    <n v="2"/>
    <m/>
    <n v="3"/>
    <n v="30000"/>
  </r>
  <r>
    <x v="29"/>
    <n v="120"/>
    <m/>
    <m/>
    <m/>
    <n v="1"/>
    <m/>
    <m/>
    <m/>
    <m/>
    <m/>
    <m/>
    <m/>
    <m/>
    <m/>
    <m/>
    <m/>
    <m/>
    <m/>
    <n v="1"/>
    <n v="81200"/>
  </r>
  <r>
    <x v="29"/>
    <n v="121"/>
    <m/>
    <m/>
    <n v="1"/>
    <m/>
    <m/>
    <m/>
    <m/>
    <m/>
    <m/>
    <m/>
    <m/>
    <m/>
    <m/>
    <m/>
    <m/>
    <m/>
    <m/>
    <n v="1"/>
    <n v="31500"/>
  </r>
  <r>
    <x v="30"/>
    <n v="122"/>
    <m/>
    <m/>
    <n v="3"/>
    <m/>
    <m/>
    <m/>
    <m/>
    <m/>
    <m/>
    <m/>
    <m/>
    <m/>
    <m/>
    <m/>
    <m/>
    <m/>
    <m/>
    <n v="3"/>
    <n v="94500"/>
  </r>
  <r>
    <x v="30"/>
    <n v="123"/>
    <m/>
    <m/>
    <m/>
    <m/>
    <m/>
    <m/>
    <m/>
    <m/>
    <m/>
    <m/>
    <m/>
    <n v="1"/>
    <n v="1"/>
    <m/>
    <m/>
    <n v="1"/>
    <n v="1"/>
    <n v="4"/>
    <n v="64000"/>
  </r>
  <r>
    <x v="30"/>
    <n v="124"/>
    <m/>
    <m/>
    <m/>
    <m/>
    <m/>
    <n v="2"/>
    <m/>
    <m/>
    <m/>
    <m/>
    <m/>
    <m/>
    <m/>
    <m/>
    <m/>
    <n v="3"/>
    <m/>
    <n v="5"/>
    <n v="50000"/>
  </r>
  <r>
    <x v="31"/>
    <n v="125"/>
    <m/>
    <m/>
    <m/>
    <m/>
    <n v="1"/>
    <m/>
    <m/>
    <m/>
    <m/>
    <m/>
    <m/>
    <m/>
    <m/>
    <m/>
    <m/>
    <m/>
    <m/>
    <n v="1"/>
    <n v="33900"/>
  </r>
  <r>
    <x v="31"/>
    <n v="126"/>
    <m/>
    <m/>
    <m/>
    <m/>
    <m/>
    <m/>
    <m/>
    <m/>
    <n v="1"/>
    <m/>
    <m/>
    <n v="1"/>
    <m/>
    <m/>
    <m/>
    <m/>
    <n v="1"/>
    <n v="3"/>
    <n v="48000"/>
  </r>
  <r>
    <x v="32"/>
    <n v="127"/>
    <m/>
    <m/>
    <m/>
    <m/>
    <m/>
    <m/>
    <m/>
    <m/>
    <m/>
    <m/>
    <m/>
    <m/>
    <m/>
    <m/>
    <m/>
    <m/>
    <n v="2"/>
    <n v="2"/>
    <n v="28000"/>
  </r>
  <r>
    <x v="32"/>
    <n v="128"/>
    <m/>
    <m/>
    <m/>
    <m/>
    <m/>
    <m/>
    <m/>
    <m/>
    <n v="0.5"/>
    <m/>
    <m/>
    <n v="1"/>
    <n v="1"/>
    <m/>
    <m/>
    <m/>
    <m/>
    <n v="2.5"/>
    <n v="45000"/>
  </r>
  <r>
    <x v="32"/>
    <n v="129"/>
    <m/>
    <m/>
    <m/>
    <m/>
    <n v="1"/>
    <m/>
    <m/>
    <m/>
    <m/>
    <m/>
    <m/>
    <m/>
    <m/>
    <m/>
    <m/>
    <m/>
    <m/>
    <n v="1"/>
    <n v="33900"/>
  </r>
  <r>
    <x v="32"/>
    <n v="130"/>
    <m/>
    <m/>
    <n v="1"/>
    <m/>
    <m/>
    <m/>
    <m/>
    <m/>
    <m/>
    <m/>
    <m/>
    <m/>
    <m/>
    <m/>
    <m/>
    <m/>
    <m/>
    <n v="1"/>
    <n v="31500"/>
  </r>
  <r>
    <x v="33"/>
    <n v="131"/>
    <m/>
    <n v="1"/>
    <m/>
    <m/>
    <m/>
    <m/>
    <m/>
    <m/>
    <m/>
    <m/>
    <m/>
    <m/>
    <m/>
    <m/>
    <m/>
    <m/>
    <n v="0.5"/>
    <n v="1.5"/>
    <n v="24000"/>
  </r>
  <r>
    <x v="34"/>
    <n v="132"/>
    <m/>
    <m/>
    <m/>
    <m/>
    <m/>
    <m/>
    <m/>
    <m/>
    <m/>
    <n v="1"/>
    <m/>
    <m/>
    <m/>
    <m/>
    <m/>
    <m/>
    <m/>
    <n v="1"/>
    <n v="0"/>
  </r>
  <r>
    <x v="35"/>
    <n v="133"/>
    <m/>
    <m/>
    <m/>
    <m/>
    <m/>
    <n v="1"/>
    <m/>
    <m/>
    <n v="1"/>
    <m/>
    <m/>
    <m/>
    <m/>
    <m/>
    <m/>
    <n v="1"/>
    <m/>
    <n v="3"/>
    <n v="30000"/>
  </r>
  <r>
    <x v="36"/>
    <n v="134"/>
    <m/>
    <m/>
    <m/>
    <m/>
    <m/>
    <n v="1"/>
    <m/>
    <m/>
    <m/>
    <m/>
    <m/>
    <m/>
    <n v="1"/>
    <m/>
    <m/>
    <m/>
    <m/>
    <n v="2"/>
    <n v="26000"/>
  </r>
  <r>
    <x v="36"/>
    <n v="135"/>
    <m/>
    <m/>
    <m/>
    <m/>
    <m/>
    <m/>
    <m/>
    <m/>
    <n v="2.5"/>
    <m/>
    <m/>
    <m/>
    <m/>
    <m/>
    <m/>
    <m/>
    <m/>
    <n v="2.5"/>
    <n v="25000"/>
  </r>
  <r>
    <x v="36"/>
    <n v="136"/>
    <m/>
    <m/>
    <m/>
    <m/>
    <m/>
    <n v="1"/>
    <m/>
    <m/>
    <n v="1"/>
    <m/>
    <m/>
    <m/>
    <m/>
    <m/>
    <m/>
    <m/>
    <n v="1"/>
    <n v="3"/>
    <n v="34000"/>
  </r>
  <r>
    <x v="36"/>
    <n v="137"/>
    <m/>
    <m/>
    <m/>
    <m/>
    <m/>
    <m/>
    <m/>
    <m/>
    <m/>
    <m/>
    <m/>
    <m/>
    <n v="1"/>
    <m/>
    <m/>
    <m/>
    <n v="1"/>
    <n v="2"/>
    <n v="30000"/>
  </r>
  <r>
    <x v="37"/>
    <n v="138"/>
    <m/>
    <m/>
    <m/>
    <n v="1"/>
    <m/>
    <n v="1"/>
    <m/>
    <m/>
    <m/>
    <m/>
    <m/>
    <m/>
    <m/>
    <m/>
    <m/>
    <m/>
    <m/>
    <n v="2"/>
    <n v="91200"/>
  </r>
  <r>
    <x v="37"/>
    <n v="139"/>
    <m/>
    <m/>
    <m/>
    <m/>
    <m/>
    <m/>
    <m/>
    <m/>
    <m/>
    <n v="2"/>
    <m/>
    <m/>
    <m/>
    <m/>
    <m/>
    <m/>
    <m/>
    <n v="2"/>
    <n v="39800"/>
  </r>
  <r>
    <x v="37"/>
    <n v="140"/>
    <m/>
    <m/>
    <m/>
    <m/>
    <m/>
    <m/>
    <m/>
    <m/>
    <n v="0.1"/>
    <m/>
    <m/>
    <m/>
    <m/>
    <m/>
    <m/>
    <m/>
    <m/>
    <n v="0.1"/>
    <n v="1000"/>
  </r>
  <r>
    <x v="38"/>
    <n v="141"/>
    <m/>
    <n v="1"/>
    <m/>
    <m/>
    <m/>
    <n v="0.5"/>
    <m/>
    <m/>
    <m/>
    <m/>
    <m/>
    <m/>
    <m/>
    <m/>
    <m/>
    <m/>
    <m/>
    <n v="1.5"/>
    <n v="30400"/>
  </r>
  <r>
    <x v="38"/>
    <n v="142"/>
    <m/>
    <m/>
    <m/>
    <n v="1"/>
    <m/>
    <m/>
    <m/>
    <m/>
    <m/>
    <m/>
    <m/>
    <m/>
    <m/>
    <m/>
    <m/>
    <m/>
    <m/>
    <n v="1"/>
    <n v="81200"/>
  </r>
  <r>
    <x v="38"/>
    <n v="143"/>
    <m/>
    <m/>
    <m/>
    <m/>
    <m/>
    <n v="3"/>
    <m/>
    <m/>
    <n v="2"/>
    <n v="1"/>
    <m/>
    <n v="1"/>
    <m/>
    <m/>
    <m/>
    <m/>
    <m/>
    <n v="7"/>
    <n v="101400"/>
  </r>
  <r>
    <x v="38"/>
    <n v="144"/>
    <m/>
    <m/>
    <n v="1"/>
    <m/>
    <m/>
    <m/>
    <m/>
    <m/>
    <m/>
    <m/>
    <m/>
    <m/>
    <m/>
    <m/>
    <m/>
    <m/>
    <m/>
    <n v="1"/>
    <n v="31500"/>
  </r>
  <r>
    <x v="39"/>
    <n v="145"/>
    <m/>
    <m/>
    <n v="1"/>
    <m/>
    <m/>
    <m/>
    <m/>
    <m/>
    <m/>
    <m/>
    <m/>
    <m/>
    <m/>
    <m/>
    <m/>
    <m/>
    <m/>
    <n v="1"/>
    <n v="31500"/>
  </r>
  <r>
    <x v="39"/>
    <n v="146"/>
    <m/>
    <m/>
    <m/>
    <n v="1"/>
    <m/>
    <m/>
    <m/>
    <m/>
    <m/>
    <m/>
    <m/>
    <m/>
    <m/>
    <m/>
    <m/>
    <m/>
    <m/>
    <n v="1"/>
    <n v="81200"/>
  </r>
  <r>
    <x v="40"/>
    <n v="147"/>
    <m/>
    <m/>
    <m/>
    <n v="1"/>
    <m/>
    <m/>
    <m/>
    <m/>
    <m/>
    <m/>
    <m/>
    <m/>
    <m/>
    <m/>
    <m/>
    <m/>
    <m/>
    <n v="1"/>
    <n v="81200"/>
  </r>
  <r>
    <x v="40"/>
    <n v="148"/>
    <m/>
    <n v="1"/>
    <m/>
    <m/>
    <m/>
    <m/>
    <m/>
    <m/>
    <n v="1"/>
    <m/>
    <m/>
    <m/>
    <m/>
    <m/>
    <m/>
    <m/>
    <m/>
    <n v="2"/>
    <n v="35400"/>
  </r>
  <r>
    <x v="41"/>
    <n v="149"/>
    <m/>
    <m/>
    <m/>
    <m/>
    <m/>
    <n v="1"/>
    <m/>
    <m/>
    <n v="2"/>
    <m/>
    <m/>
    <m/>
    <m/>
    <m/>
    <m/>
    <m/>
    <m/>
    <n v="3"/>
    <n v="30000"/>
  </r>
  <r>
    <x v="41"/>
    <n v="150"/>
    <m/>
    <m/>
    <m/>
    <m/>
    <m/>
    <m/>
    <m/>
    <m/>
    <m/>
    <n v="1"/>
    <m/>
    <n v="1"/>
    <m/>
    <m/>
    <m/>
    <m/>
    <n v="1"/>
    <n v="3"/>
    <n v="57900"/>
  </r>
  <r>
    <x v="41"/>
    <n v="151"/>
    <m/>
    <m/>
    <m/>
    <m/>
    <m/>
    <m/>
    <m/>
    <m/>
    <n v="1"/>
    <m/>
    <m/>
    <n v="1"/>
    <m/>
    <m/>
    <m/>
    <n v="1"/>
    <n v="1"/>
    <n v="4"/>
    <n v="58000"/>
  </r>
  <r>
    <x v="41"/>
    <n v="152"/>
    <m/>
    <m/>
    <m/>
    <m/>
    <n v="1"/>
    <n v="1"/>
    <m/>
    <m/>
    <n v="4"/>
    <m/>
    <m/>
    <m/>
    <m/>
    <m/>
    <m/>
    <m/>
    <m/>
    <n v="6"/>
    <n v="83900"/>
  </r>
  <r>
    <x v="41"/>
    <n v="153"/>
    <m/>
    <m/>
    <m/>
    <m/>
    <m/>
    <m/>
    <m/>
    <m/>
    <n v="2.5"/>
    <m/>
    <m/>
    <m/>
    <m/>
    <m/>
    <m/>
    <m/>
    <m/>
    <n v="2.5"/>
    <n v="25000"/>
  </r>
  <r>
    <x v="41"/>
    <n v="154"/>
    <m/>
    <m/>
    <m/>
    <m/>
    <m/>
    <m/>
    <m/>
    <m/>
    <n v="1"/>
    <m/>
    <m/>
    <n v="1"/>
    <m/>
    <m/>
    <m/>
    <m/>
    <n v="1"/>
    <n v="3"/>
    <n v="48000"/>
  </r>
  <r>
    <x v="42"/>
    <n v="155"/>
    <m/>
    <m/>
    <m/>
    <m/>
    <m/>
    <m/>
    <m/>
    <m/>
    <n v="2"/>
    <m/>
    <m/>
    <m/>
    <n v="0.5"/>
    <m/>
    <m/>
    <n v="1"/>
    <n v="2"/>
    <n v="5.5"/>
    <n v="66000"/>
  </r>
  <r>
    <x v="42"/>
    <n v="156"/>
    <m/>
    <m/>
    <m/>
    <m/>
    <m/>
    <n v="1"/>
    <m/>
    <m/>
    <n v="2"/>
    <m/>
    <m/>
    <m/>
    <m/>
    <m/>
    <m/>
    <m/>
    <m/>
    <n v="3"/>
    <n v="30000"/>
  </r>
  <r>
    <x v="42"/>
    <n v="157"/>
    <m/>
    <m/>
    <m/>
    <m/>
    <m/>
    <m/>
    <m/>
    <m/>
    <n v="2"/>
    <m/>
    <m/>
    <m/>
    <m/>
    <m/>
    <m/>
    <m/>
    <n v="1"/>
    <n v="3"/>
    <n v="34000"/>
  </r>
  <r>
    <x v="42"/>
    <n v="158"/>
    <m/>
    <m/>
    <m/>
    <m/>
    <m/>
    <n v="1"/>
    <m/>
    <m/>
    <n v="1"/>
    <m/>
    <m/>
    <m/>
    <m/>
    <m/>
    <m/>
    <n v="1"/>
    <m/>
    <n v="3"/>
    <n v="30000"/>
  </r>
  <r>
    <x v="43"/>
    <n v="159"/>
    <m/>
    <n v="1"/>
    <m/>
    <m/>
    <m/>
    <m/>
    <m/>
    <m/>
    <m/>
    <m/>
    <m/>
    <m/>
    <m/>
    <m/>
    <m/>
    <m/>
    <m/>
    <n v="1"/>
    <n v="25400"/>
  </r>
  <r>
    <x v="43"/>
    <n v="160"/>
    <m/>
    <m/>
    <m/>
    <m/>
    <m/>
    <m/>
    <m/>
    <m/>
    <n v="1"/>
    <m/>
    <m/>
    <m/>
    <n v="1"/>
    <m/>
    <m/>
    <m/>
    <m/>
    <n v="2"/>
    <n v="26000"/>
  </r>
  <r>
    <x v="43"/>
    <n v="161"/>
    <m/>
    <n v="1"/>
    <m/>
    <m/>
    <m/>
    <m/>
    <m/>
    <m/>
    <m/>
    <n v="1"/>
    <m/>
    <m/>
    <m/>
    <m/>
    <m/>
    <m/>
    <m/>
    <n v="2"/>
    <n v="45300"/>
  </r>
  <r>
    <x v="44"/>
    <n v="162"/>
    <m/>
    <m/>
    <m/>
    <m/>
    <m/>
    <n v="2"/>
    <m/>
    <m/>
    <m/>
    <m/>
    <n v="2"/>
    <m/>
    <m/>
    <m/>
    <m/>
    <m/>
    <m/>
    <n v="4"/>
    <n v="35000"/>
  </r>
  <r>
    <x v="44"/>
    <n v="163"/>
    <m/>
    <m/>
    <m/>
    <m/>
    <m/>
    <m/>
    <m/>
    <m/>
    <n v="3"/>
    <m/>
    <m/>
    <m/>
    <m/>
    <m/>
    <m/>
    <m/>
    <m/>
    <n v="3"/>
    <n v="30000"/>
  </r>
  <r>
    <x v="44"/>
    <n v="164"/>
    <m/>
    <m/>
    <m/>
    <m/>
    <m/>
    <m/>
    <m/>
    <m/>
    <m/>
    <m/>
    <m/>
    <m/>
    <m/>
    <m/>
    <m/>
    <m/>
    <m/>
    <n v="0"/>
    <n v="0"/>
  </r>
  <r>
    <x v="45"/>
    <n v="165"/>
    <m/>
    <m/>
    <n v="1"/>
    <m/>
    <m/>
    <m/>
    <m/>
    <m/>
    <m/>
    <m/>
    <m/>
    <m/>
    <m/>
    <m/>
    <m/>
    <m/>
    <m/>
    <n v="1"/>
    <n v="31500"/>
  </r>
  <r>
    <x v="45"/>
    <n v="166"/>
    <m/>
    <n v="1"/>
    <m/>
    <m/>
    <m/>
    <m/>
    <m/>
    <m/>
    <m/>
    <m/>
    <m/>
    <m/>
    <m/>
    <m/>
    <m/>
    <m/>
    <m/>
    <n v="1"/>
    <n v="25400"/>
  </r>
  <r>
    <x v="46"/>
    <n v="167"/>
    <m/>
    <m/>
    <m/>
    <m/>
    <m/>
    <m/>
    <m/>
    <m/>
    <n v="1"/>
    <m/>
    <m/>
    <n v="1"/>
    <m/>
    <m/>
    <m/>
    <m/>
    <m/>
    <n v="2"/>
    <n v="34000"/>
  </r>
  <r>
    <x v="46"/>
    <n v="168"/>
    <m/>
    <m/>
    <m/>
    <m/>
    <m/>
    <n v="2"/>
    <m/>
    <m/>
    <n v="3"/>
    <m/>
    <m/>
    <m/>
    <m/>
    <m/>
    <m/>
    <m/>
    <n v="2"/>
    <n v="7"/>
    <n v="78000"/>
  </r>
  <r>
    <x v="46"/>
    <n v="169"/>
    <m/>
    <m/>
    <m/>
    <m/>
    <m/>
    <m/>
    <m/>
    <m/>
    <n v="0.2"/>
    <m/>
    <m/>
    <m/>
    <m/>
    <m/>
    <m/>
    <m/>
    <m/>
    <n v="0.2"/>
    <n v="2000"/>
  </r>
  <r>
    <x v="47"/>
    <n v="170"/>
    <m/>
    <m/>
    <m/>
    <m/>
    <m/>
    <m/>
    <m/>
    <m/>
    <n v="2"/>
    <m/>
    <m/>
    <m/>
    <n v="1"/>
    <m/>
    <m/>
    <m/>
    <m/>
    <n v="3"/>
    <n v="36000"/>
  </r>
  <r>
    <x v="47"/>
    <n v="171"/>
    <m/>
    <m/>
    <m/>
    <m/>
    <m/>
    <n v="2"/>
    <m/>
    <m/>
    <n v="0.5"/>
    <m/>
    <m/>
    <m/>
    <m/>
    <m/>
    <m/>
    <m/>
    <m/>
    <n v="2.5"/>
    <n v="25000"/>
  </r>
  <r>
    <x v="47"/>
    <n v="172"/>
    <m/>
    <m/>
    <m/>
    <m/>
    <m/>
    <m/>
    <m/>
    <m/>
    <n v="2"/>
    <m/>
    <m/>
    <n v="1"/>
    <m/>
    <m/>
    <m/>
    <m/>
    <m/>
    <n v="3"/>
    <n v="44000"/>
  </r>
  <r>
    <x v="47"/>
    <n v="173"/>
    <m/>
    <m/>
    <n v="1"/>
    <m/>
    <m/>
    <m/>
    <m/>
    <m/>
    <m/>
    <m/>
    <m/>
    <m/>
    <m/>
    <m/>
    <m/>
    <m/>
    <m/>
    <n v="1"/>
    <n v="31500"/>
  </r>
  <r>
    <x v="47"/>
    <n v="174"/>
    <m/>
    <m/>
    <m/>
    <m/>
    <m/>
    <m/>
    <m/>
    <m/>
    <n v="3"/>
    <m/>
    <m/>
    <m/>
    <m/>
    <m/>
    <m/>
    <m/>
    <m/>
    <n v="3"/>
    <n v="30000"/>
  </r>
  <r>
    <x v="48"/>
    <n v="175"/>
    <m/>
    <m/>
    <n v="1"/>
    <m/>
    <m/>
    <m/>
    <m/>
    <m/>
    <m/>
    <m/>
    <m/>
    <m/>
    <m/>
    <m/>
    <m/>
    <m/>
    <m/>
    <n v="1"/>
    <n v="31500"/>
  </r>
  <r>
    <x v="48"/>
    <n v="176"/>
    <m/>
    <m/>
    <m/>
    <n v="1"/>
    <n v="1"/>
    <m/>
    <m/>
    <m/>
    <m/>
    <m/>
    <m/>
    <m/>
    <m/>
    <m/>
    <m/>
    <m/>
    <m/>
    <n v="2"/>
    <n v="115100"/>
  </r>
  <r>
    <x v="48"/>
    <n v="177"/>
    <m/>
    <m/>
    <n v="2"/>
    <m/>
    <m/>
    <m/>
    <m/>
    <m/>
    <m/>
    <m/>
    <m/>
    <m/>
    <m/>
    <m/>
    <m/>
    <m/>
    <m/>
    <n v="2"/>
    <n v="63000"/>
  </r>
  <r>
    <x v="49"/>
    <n v="178"/>
    <m/>
    <m/>
    <m/>
    <n v="1"/>
    <m/>
    <m/>
    <m/>
    <m/>
    <m/>
    <m/>
    <m/>
    <n v="1"/>
    <m/>
    <m/>
    <m/>
    <m/>
    <m/>
    <n v="2"/>
    <n v="105200"/>
  </r>
  <r>
    <x v="49"/>
    <n v="179"/>
    <m/>
    <m/>
    <n v="1"/>
    <m/>
    <m/>
    <m/>
    <m/>
    <m/>
    <m/>
    <m/>
    <m/>
    <m/>
    <m/>
    <m/>
    <m/>
    <m/>
    <m/>
    <n v="1"/>
    <n v="31500"/>
  </r>
  <r>
    <x v="50"/>
    <n v="180"/>
    <m/>
    <m/>
    <m/>
    <m/>
    <m/>
    <n v="1"/>
    <m/>
    <m/>
    <n v="1"/>
    <m/>
    <m/>
    <n v="1"/>
    <n v="1"/>
    <m/>
    <m/>
    <m/>
    <n v="1"/>
    <n v="5"/>
    <n v="74000"/>
  </r>
  <r>
    <x v="50"/>
    <n v="181"/>
    <m/>
    <m/>
    <m/>
    <m/>
    <m/>
    <m/>
    <m/>
    <m/>
    <m/>
    <m/>
    <m/>
    <n v="1"/>
    <m/>
    <m/>
    <m/>
    <m/>
    <m/>
    <n v="1"/>
    <n v="24000"/>
  </r>
  <r>
    <x v="51"/>
    <n v="182"/>
    <m/>
    <m/>
    <m/>
    <n v="1"/>
    <m/>
    <n v="1"/>
    <m/>
    <m/>
    <m/>
    <m/>
    <m/>
    <m/>
    <n v="1"/>
    <m/>
    <m/>
    <m/>
    <m/>
    <n v="3"/>
    <n v="107200"/>
  </r>
  <r>
    <x v="51"/>
    <n v="183"/>
    <m/>
    <m/>
    <m/>
    <m/>
    <n v="1"/>
    <m/>
    <m/>
    <m/>
    <m/>
    <m/>
    <m/>
    <m/>
    <m/>
    <m/>
    <m/>
    <m/>
    <m/>
    <n v="1"/>
    <n v="33900"/>
  </r>
  <r>
    <x v="51"/>
    <n v="184"/>
    <m/>
    <m/>
    <m/>
    <m/>
    <m/>
    <m/>
    <m/>
    <m/>
    <m/>
    <m/>
    <m/>
    <m/>
    <m/>
    <m/>
    <m/>
    <m/>
    <m/>
    <n v="0"/>
    <n v="25000"/>
  </r>
  <r>
    <x v="52"/>
    <n v="185"/>
    <m/>
    <m/>
    <m/>
    <m/>
    <m/>
    <n v="1"/>
    <m/>
    <m/>
    <m/>
    <m/>
    <m/>
    <m/>
    <m/>
    <m/>
    <m/>
    <n v="1"/>
    <n v="1"/>
    <n v="3"/>
    <n v="34000"/>
  </r>
  <r>
    <x v="52"/>
    <n v="186"/>
    <m/>
    <m/>
    <m/>
    <n v="1"/>
    <m/>
    <m/>
    <m/>
    <m/>
    <m/>
    <m/>
    <m/>
    <m/>
    <m/>
    <m/>
    <m/>
    <m/>
    <m/>
    <n v="1"/>
    <n v="81200"/>
  </r>
  <r>
    <x v="52"/>
    <n v="187"/>
    <m/>
    <n v="4"/>
    <m/>
    <m/>
    <m/>
    <m/>
    <m/>
    <m/>
    <m/>
    <m/>
    <m/>
    <m/>
    <m/>
    <m/>
    <m/>
    <m/>
    <m/>
    <n v="4"/>
    <n v="101600"/>
  </r>
  <r>
    <x v="52"/>
    <n v="188"/>
    <m/>
    <m/>
    <m/>
    <m/>
    <m/>
    <n v="1"/>
    <m/>
    <m/>
    <m/>
    <m/>
    <m/>
    <m/>
    <m/>
    <m/>
    <m/>
    <m/>
    <n v="1"/>
    <n v="2"/>
    <n v="34000"/>
  </r>
  <r>
    <x v="53"/>
    <n v="189"/>
    <m/>
    <m/>
    <m/>
    <m/>
    <m/>
    <m/>
    <m/>
    <m/>
    <m/>
    <m/>
    <m/>
    <n v="1"/>
    <m/>
    <m/>
    <m/>
    <m/>
    <m/>
    <n v="1"/>
    <n v="34000"/>
  </r>
  <r>
    <x v="53"/>
    <n v="190"/>
    <m/>
    <m/>
    <m/>
    <n v="1"/>
    <m/>
    <m/>
    <m/>
    <m/>
    <m/>
    <m/>
    <m/>
    <m/>
    <m/>
    <m/>
    <m/>
    <m/>
    <m/>
    <n v="1"/>
    <n v="81200"/>
  </r>
  <r>
    <x v="54"/>
    <n v="191"/>
    <m/>
    <m/>
    <m/>
    <m/>
    <m/>
    <n v="1"/>
    <m/>
    <m/>
    <m/>
    <m/>
    <m/>
    <n v="1"/>
    <n v="0.65"/>
    <m/>
    <m/>
    <m/>
    <n v="1"/>
    <n v="3.65"/>
    <n v="58400"/>
  </r>
  <r>
    <x v="54"/>
    <n v="192"/>
    <m/>
    <m/>
    <m/>
    <m/>
    <m/>
    <m/>
    <m/>
    <m/>
    <m/>
    <m/>
    <m/>
    <m/>
    <m/>
    <m/>
    <m/>
    <m/>
    <m/>
    <n v="0"/>
    <n v="25000"/>
  </r>
  <r>
    <x v="55"/>
    <n v="193"/>
    <m/>
    <m/>
    <n v="1"/>
    <m/>
    <m/>
    <m/>
    <m/>
    <m/>
    <m/>
    <m/>
    <m/>
    <m/>
    <m/>
    <m/>
    <m/>
    <m/>
    <n v="1"/>
    <n v="2"/>
    <n v="45500"/>
  </r>
  <r>
    <x v="55"/>
    <n v="194"/>
    <m/>
    <m/>
    <m/>
    <m/>
    <m/>
    <m/>
    <m/>
    <m/>
    <m/>
    <m/>
    <m/>
    <n v="1"/>
    <n v="1"/>
    <m/>
    <m/>
    <m/>
    <m/>
    <n v="2"/>
    <n v="50000"/>
  </r>
  <r>
    <x v="55"/>
    <n v="195"/>
    <m/>
    <m/>
    <m/>
    <m/>
    <m/>
    <m/>
    <m/>
    <m/>
    <m/>
    <m/>
    <m/>
    <n v="1"/>
    <m/>
    <m/>
    <m/>
    <m/>
    <m/>
    <n v="1"/>
    <n v="29000"/>
  </r>
  <r>
    <x v="55"/>
    <n v="196"/>
    <m/>
    <m/>
    <m/>
    <m/>
    <m/>
    <m/>
    <m/>
    <m/>
    <m/>
    <m/>
    <m/>
    <n v="1"/>
    <m/>
    <m/>
    <m/>
    <m/>
    <m/>
    <n v="1"/>
    <n v="29000"/>
  </r>
  <r>
    <x v="55"/>
    <n v="197"/>
    <m/>
    <m/>
    <m/>
    <m/>
    <m/>
    <m/>
    <m/>
    <m/>
    <m/>
    <m/>
    <m/>
    <m/>
    <m/>
    <m/>
    <m/>
    <m/>
    <m/>
    <n v="0"/>
    <n v="80000"/>
  </r>
  <r>
    <x v="56"/>
    <n v="198"/>
    <m/>
    <m/>
    <m/>
    <m/>
    <m/>
    <m/>
    <m/>
    <m/>
    <m/>
    <m/>
    <m/>
    <m/>
    <m/>
    <m/>
    <m/>
    <m/>
    <m/>
    <n v="0"/>
    <n v="40000"/>
  </r>
  <r>
    <x v="56"/>
    <n v="199"/>
    <m/>
    <m/>
    <m/>
    <n v="1"/>
    <m/>
    <m/>
    <m/>
    <m/>
    <m/>
    <m/>
    <m/>
    <n v="1"/>
    <m/>
    <m/>
    <m/>
    <m/>
    <m/>
    <n v="2"/>
    <n v="105200"/>
  </r>
  <r>
    <x v="57"/>
    <n v="200"/>
    <m/>
    <m/>
    <n v="1"/>
    <m/>
    <m/>
    <m/>
    <m/>
    <m/>
    <m/>
    <m/>
    <m/>
    <m/>
    <m/>
    <m/>
    <m/>
    <m/>
    <m/>
    <n v="1"/>
    <n v="31500"/>
  </r>
  <r>
    <x v="57"/>
    <n v="201"/>
    <m/>
    <m/>
    <m/>
    <m/>
    <m/>
    <m/>
    <m/>
    <m/>
    <m/>
    <m/>
    <m/>
    <m/>
    <m/>
    <m/>
    <m/>
    <m/>
    <m/>
    <n v="0"/>
    <n v="85000"/>
  </r>
  <r>
    <x v="58"/>
    <n v="202"/>
    <m/>
    <m/>
    <m/>
    <m/>
    <m/>
    <n v="1"/>
    <m/>
    <m/>
    <m/>
    <m/>
    <n v="2"/>
    <m/>
    <m/>
    <m/>
    <m/>
    <m/>
    <m/>
    <n v="3"/>
    <n v="25000"/>
  </r>
  <r>
    <x v="58"/>
    <n v="203"/>
    <m/>
    <m/>
    <n v="15"/>
    <m/>
    <m/>
    <m/>
    <m/>
    <m/>
    <m/>
    <m/>
    <m/>
    <m/>
    <m/>
    <m/>
    <m/>
    <m/>
    <m/>
    <n v="15"/>
    <n v="472500"/>
  </r>
  <r>
    <x v="59"/>
    <n v="204"/>
    <m/>
    <m/>
    <n v="1"/>
    <m/>
    <m/>
    <m/>
    <m/>
    <m/>
    <m/>
    <m/>
    <m/>
    <m/>
    <m/>
    <m/>
    <m/>
    <m/>
    <m/>
    <n v="1"/>
    <n v="31500"/>
  </r>
  <r>
    <x v="59"/>
    <n v="205"/>
    <m/>
    <m/>
    <m/>
    <m/>
    <m/>
    <m/>
    <m/>
    <m/>
    <m/>
    <m/>
    <m/>
    <n v="2"/>
    <m/>
    <m/>
    <m/>
    <m/>
    <m/>
    <n v="2"/>
    <n v="48000"/>
  </r>
  <r>
    <x v="60"/>
    <n v="206"/>
    <m/>
    <m/>
    <m/>
    <n v="1"/>
    <m/>
    <m/>
    <m/>
    <m/>
    <m/>
    <m/>
    <m/>
    <m/>
    <m/>
    <m/>
    <m/>
    <m/>
    <m/>
    <n v="1"/>
    <n v="91200"/>
  </r>
  <r>
    <x v="60"/>
    <n v="207"/>
    <m/>
    <n v="1"/>
    <m/>
    <m/>
    <m/>
    <n v="1"/>
    <m/>
    <m/>
    <m/>
    <m/>
    <m/>
    <m/>
    <m/>
    <m/>
    <m/>
    <m/>
    <m/>
    <n v="2"/>
    <n v="354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E88821-0BB8-4FFB-9EFB-4B469D3257A0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L2:M66" firstHeaderRow="1" firstDataRow="1" firstDataCol="1"/>
  <pivotFields count="25">
    <pivotField axis="axisRow" showAll="0">
      <items count="60">
        <item x="7"/>
        <item x="8"/>
        <item x="9"/>
        <item x="0"/>
        <item x="1"/>
        <item x="2"/>
        <item x="3"/>
        <item x="4"/>
        <item x="5"/>
        <item x="6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x="9"/>
        <item x="10"/>
        <item x="11"/>
        <item x="12"/>
        <item sd="0" x="13"/>
        <item t="default"/>
      </items>
    </pivotField>
  </pivotFields>
  <rowFields count="3">
    <field x="24"/>
    <field x="23"/>
    <field x="0"/>
  </rowFields>
  <rowItems count="64">
    <i>
      <x v="9"/>
    </i>
    <i r="1">
      <x v="246"/>
    </i>
    <i r="1">
      <x v="248"/>
    </i>
    <i r="1">
      <x v="250"/>
    </i>
    <i r="1">
      <x v="253"/>
    </i>
    <i r="1">
      <x v="255"/>
    </i>
    <i r="1">
      <x v="256"/>
    </i>
    <i r="1">
      <x v="257"/>
    </i>
    <i r="1">
      <x v="258"/>
    </i>
    <i r="1">
      <x v="260"/>
    </i>
    <i r="1">
      <x v="261"/>
    </i>
    <i r="1">
      <x v="267"/>
    </i>
    <i r="1">
      <x v="268"/>
    </i>
    <i r="1">
      <x v="269"/>
    </i>
    <i r="1">
      <x v="270"/>
    </i>
    <i r="1">
      <x v="271"/>
    </i>
    <i r="1">
      <x v="272"/>
    </i>
    <i r="1">
      <x v="273"/>
    </i>
    <i r="1">
      <x v="274"/>
    </i>
    <i>
      <x v="10"/>
    </i>
    <i r="1">
      <x v="275"/>
    </i>
    <i r="1">
      <x v="276"/>
    </i>
    <i r="1">
      <x v="277"/>
    </i>
    <i r="1">
      <x v="279"/>
    </i>
    <i r="1">
      <x v="280"/>
    </i>
    <i r="1">
      <x v="281"/>
    </i>
    <i r="1">
      <x v="282"/>
    </i>
    <i r="1">
      <x v="283"/>
    </i>
    <i r="1">
      <x v="284"/>
    </i>
    <i r="1">
      <x v="286"/>
    </i>
    <i r="1">
      <x v="288"/>
    </i>
    <i r="1">
      <x v="289"/>
    </i>
    <i r="1">
      <x v="290"/>
    </i>
    <i r="1">
      <x v="297"/>
    </i>
    <i r="1">
      <x v="302"/>
    </i>
    <i r="1">
      <x v="303"/>
    </i>
    <i r="1">
      <x v="304"/>
    </i>
    <i r="1">
      <x v="305"/>
    </i>
    <i>
      <x v="11"/>
    </i>
    <i r="1">
      <x v="308"/>
    </i>
    <i r="1">
      <x v="309"/>
    </i>
    <i r="1">
      <x v="310"/>
    </i>
    <i r="1">
      <x v="312"/>
    </i>
    <i r="1">
      <x v="313"/>
    </i>
    <i r="1">
      <x v="316"/>
    </i>
    <i r="1">
      <x v="317"/>
    </i>
    <i r="1">
      <x v="318"/>
    </i>
    <i r="1">
      <x v="319"/>
    </i>
    <i r="1">
      <x v="320"/>
    </i>
    <i r="1">
      <x v="322"/>
    </i>
    <i r="1">
      <x v="324"/>
    </i>
    <i r="1">
      <x v="325"/>
    </i>
    <i r="1">
      <x v="327"/>
    </i>
    <i r="1">
      <x v="330"/>
    </i>
    <i r="1">
      <x v="332"/>
    </i>
    <i>
      <x v="12"/>
    </i>
    <i r="1">
      <x v="336"/>
    </i>
    <i r="1">
      <x v="337"/>
    </i>
    <i r="1">
      <x v="339"/>
    </i>
    <i r="1">
      <x v="347"/>
    </i>
    <i r="1">
      <x v="351"/>
    </i>
    <i r="1">
      <x v="352"/>
    </i>
    <i r="1">
      <x v="354"/>
    </i>
    <i t="grand">
      <x/>
    </i>
  </rowItems>
  <colItems count="1">
    <i/>
  </colItems>
  <dataFields count="1">
    <dataField name="Suma de total compra" fld="20" baseField="0" baseItem="0" numFmtId="167"/>
  </dataFields>
  <formats count="2">
    <format dxfId="1">
      <pivotArea outline="0" collapsedLevelsAreSubtotals="1" fieldPosition="0"/>
    </format>
    <format dxfId="0">
      <pivotArea dataOnly="0" labelOnly="1" outline="0" axis="axisValues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532910-0D89-4EEE-A1F6-998DBF52A38A}" name="TablaDinámica3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U1:X2" firstHeaderRow="0" firstDataRow="1" firstDataCol="0"/>
  <pivotFields count="21"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a de semanal" fld="3" baseField="0" baseItem="0"/>
    <dataField name="Suma de bolsillo feliz" fld="4" baseField="0" baseItem="0"/>
    <dataField name="Suma de mensual" fld="5" baseField="0" baseItem="0"/>
    <dataField name="Suma de niños" fld="6" baseField="0" baseItem="0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C5E6C3-EBDB-429A-9C20-2666E16B092E}" name="TablaDinámica2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R13:S18" firstHeaderRow="1" firstDataRow="1" firstDataCol="1"/>
  <pivotFields count="23">
    <pivotField axis="axisRow" showAll="0">
      <items count="62">
        <item x="7"/>
        <item x="8"/>
        <item x="9"/>
        <item x="0"/>
        <item x="1"/>
        <item x="2"/>
        <item x="3"/>
        <item x="4"/>
        <item x="5"/>
        <item x="6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22"/>
    <field x="21"/>
    <field x="0"/>
  </rowFields>
  <rowItems count="5"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Suma de total compra" fld="20" baseField="0" baseItem="0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1:K149">
  <tableColumns count="11">
    <tableColumn id="1" xr3:uid="{00000000-0010-0000-0000-000001000000}" name="Proveedor"/>
    <tableColumn id="2" xr3:uid="{00000000-0010-0000-0000-000002000000}" name="fecha"/>
    <tableColumn id="3" xr3:uid="{00000000-0010-0000-0000-000003000000}" name="ESTADO"/>
    <tableColumn id="4" xr3:uid="{00000000-0010-0000-0000-000004000000}" name="Nº de factura "/>
    <tableColumn id="5" xr3:uid="{00000000-0010-0000-0000-000005000000}" name="Producto "/>
    <tableColumn id="6" xr3:uid="{00000000-0010-0000-0000-000006000000}" name="cantidad "/>
    <tableColumn id="7" xr3:uid="{00000000-0010-0000-0000-000007000000}" name="valor unitario"/>
    <tableColumn id="8" xr3:uid="{00000000-0010-0000-0000-000008000000}" name="valor factura"/>
    <tableColumn id="9" xr3:uid="{00000000-0010-0000-0000-000009000000}" name="observaciones "/>
    <tableColumn id="10" xr3:uid="{00000000-0010-0000-0000-00000A000000}" name="Columna1"/>
    <tableColumn id="11" xr3:uid="{00000000-0010-0000-0000-00000B000000}" name="@dropdown"/>
  </tableColumns>
  <tableStyleInfo name="FACTURAS 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2" displayName="Table_2" ref="L1:M2">
  <tableColumns count="2">
    <tableColumn id="1" xr3:uid="{00000000-0010-0000-0100-000001000000}" name="Columna1"/>
    <tableColumn id="2" xr3:uid="{00000000-0010-0000-0100-000002000000}" name="deuda "/>
  </tableColumns>
  <tableStyleInfo name="FACTURAS -style 2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_3" displayName="Table_3" ref="A1:E18">
  <tableColumns count="5">
    <tableColumn id="1" xr3:uid="{00000000-0010-0000-0200-000001000000}" name="tipo de promocion "/>
    <tableColumn id="2" xr3:uid="{00000000-0010-0000-0200-000002000000}" name="cantidad recepcionada "/>
    <tableColumn id="3" xr3:uid="{00000000-0010-0000-0200-000003000000}" name="stock"/>
    <tableColumn id="4" xr3:uid="{00000000-0010-0000-0200-000004000000}" name="en proceso"/>
    <tableColumn id="5" xr3:uid="{00000000-0010-0000-0200-000005000000}" name="cantidad vendida"/>
  </tableColumns>
  <tableStyleInfo name="FLUJO-style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_4" displayName="Table_4" ref="A1:D19">
  <tableColumns count="4">
    <tableColumn id="1" xr3:uid="{00000000-0010-0000-0300-000001000000}" name="CAJA "/>
    <tableColumn id="2" xr3:uid="{00000000-0010-0000-0300-000002000000}" name="VALOR UNITARIO"/>
    <tableColumn id="3" xr3:uid="{00000000-0010-0000-0300-000003000000}" name="CANTIDAD VENDIDA"/>
    <tableColumn id="4" xr3:uid="{00000000-0010-0000-0300-000004000000}" name="TOTAL"/>
  </tableColumns>
  <tableStyleInfo name="CONTABILIDAD 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F1029"/>
  <sheetViews>
    <sheetView workbookViewId="0">
      <pane ySplit="1" topLeftCell="A127" activePane="bottomLeft" state="frozen"/>
      <selection pane="bottomLeft" activeCell="F138" sqref="F138"/>
    </sheetView>
  </sheetViews>
  <sheetFormatPr baseColWidth="10" defaultColWidth="11.19921875" defaultRowHeight="15" customHeight="1" outlineLevelRow="1" x14ac:dyDescent="0.3"/>
  <cols>
    <col min="1" max="1" width="12.69921875" customWidth="1"/>
    <col min="2" max="2" width="10.5" customWidth="1"/>
    <col min="3" max="3" width="13.5" customWidth="1"/>
    <col min="4" max="4" width="15" customWidth="1"/>
    <col min="5" max="5" width="18.5" customWidth="1"/>
    <col min="6" max="6" width="11" customWidth="1"/>
    <col min="7" max="7" width="14.5" customWidth="1"/>
    <col min="8" max="8" width="14" customWidth="1"/>
    <col min="9" max="9" width="15.59765625" customWidth="1"/>
    <col min="10" max="10" width="11.59765625" customWidth="1"/>
    <col min="11" max="11" width="10.5" customWidth="1"/>
    <col min="12" max="13" width="11.59765625" customWidth="1"/>
    <col min="14" max="15" width="10.5" customWidth="1"/>
    <col min="16" max="16" width="12.59765625" customWidth="1"/>
    <col min="17" max="20" width="10.5" customWidth="1"/>
    <col min="21" max="22" width="15.59765625" customWidth="1"/>
    <col min="23" max="23" width="13.5" customWidth="1"/>
    <col min="24" max="28" width="10.5" customWidth="1"/>
  </cols>
  <sheetData>
    <row r="1" spans="1:32" ht="15.75" customHeigh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2" t="s">
        <v>7</v>
      </c>
      <c r="I1" s="1" t="s">
        <v>8</v>
      </c>
      <c r="J1" s="3" t="s">
        <v>9</v>
      </c>
      <c r="K1" s="1" t="s">
        <v>10</v>
      </c>
      <c r="L1" s="1" t="s">
        <v>9</v>
      </c>
      <c r="M1" s="3" t="s">
        <v>11</v>
      </c>
      <c r="P1" s="4" t="s">
        <v>12</v>
      </c>
      <c r="Q1" s="4" t="s">
        <v>13</v>
      </c>
      <c r="X1" s="4" t="s">
        <v>14</v>
      </c>
      <c r="Z1" s="5" t="s">
        <v>1</v>
      </c>
      <c r="AA1" s="5" t="s">
        <v>15</v>
      </c>
      <c r="AB1" s="5" t="s">
        <v>4</v>
      </c>
      <c r="AC1" s="5" t="s">
        <v>5</v>
      </c>
      <c r="AD1" s="5" t="s">
        <v>6</v>
      </c>
      <c r="AE1" s="6" t="s">
        <v>16</v>
      </c>
      <c r="AF1" s="5" t="s">
        <v>8</v>
      </c>
    </row>
    <row r="2" spans="1:32" ht="15.75" customHeight="1" x14ac:dyDescent="0.3">
      <c r="A2" s="7" t="s">
        <v>17</v>
      </c>
      <c r="B2" s="8">
        <v>45883</v>
      </c>
      <c r="C2" s="8"/>
      <c r="D2" s="7">
        <v>57113</v>
      </c>
      <c r="E2" s="7" t="s">
        <v>18</v>
      </c>
      <c r="F2" s="7">
        <v>1</v>
      </c>
      <c r="G2" s="7"/>
      <c r="H2" s="9">
        <v>22916</v>
      </c>
      <c r="I2" s="7"/>
      <c r="J2" s="10"/>
      <c r="K2" s="7"/>
      <c r="L2" s="7" t="s">
        <v>19</v>
      </c>
      <c r="M2" s="10">
        <f>SUM(H11:H44)- J3</f>
        <v>3501309</v>
      </c>
      <c r="P2" s="11">
        <f>26960/1.15</f>
        <v>23443.478260869568</v>
      </c>
      <c r="Q2" s="11"/>
      <c r="Z2" s="12">
        <v>45905</v>
      </c>
      <c r="AA2" s="4">
        <v>4404</v>
      </c>
      <c r="AB2" s="4" t="s">
        <v>20</v>
      </c>
      <c r="AC2" s="4">
        <v>1</v>
      </c>
      <c r="AE2" s="4">
        <v>2961</v>
      </c>
      <c r="AF2" s="4" t="s">
        <v>21</v>
      </c>
    </row>
    <row r="3" spans="1:32" ht="15.75" customHeight="1" x14ac:dyDescent="0.3">
      <c r="A3" s="7" t="s">
        <v>17</v>
      </c>
      <c r="B3" s="8">
        <v>45883</v>
      </c>
      <c r="C3" s="8"/>
      <c r="D3" s="7">
        <v>57115</v>
      </c>
      <c r="E3" s="7" t="s">
        <v>22</v>
      </c>
      <c r="F3" s="7">
        <v>1</v>
      </c>
      <c r="G3" s="7"/>
      <c r="H3" s="9">
        <v>27646</v>
      </c>
      <c r="I3" s="7" t="s">
        <v>23</v>
      </c>
      <c r="J3" s="10">
        <v>-3907</v>
      </c>
      <c r="K3" s="7"/>
      <c r="P3" s="11"/>
    </row>
    <row r="4" spans="1:32" ht="15.75" customHeight="1" x14ac:dyDescent="0.3">
      <c r="A4" s="7" t="s">
        <v>17</v>
      </c>
      <c r="B4" s="8">
        <v>45883</v>
      </c>
      <c r="C4" s="8"/>
      <c r="D4" s="7">
        <v>57116</v>
      </c>
      <c r="E4" s="7" t="s">
        <v>24</v>
      </c>
      <c r="F4" s="7">
        <v>3</v>
      </c>
      <c r="G4" s="7"/>
      <c r="H4" s="9">
        <v>58855</v>
      </c>
      <c r="I4" s="7"/>
      <c r="J4" s="10"/>
      <c r="K4" s="7"/>
    </row>
    <row r="5" spans="1:32" ht="15.75" customHeight="1" x14ac:dyDescent="0.3">
      <c r="A5" s="7" t="s">
        <v>17</v>
      </c>
      <c r="B5" s="8">
        <v>45883</v>
      </c>
      <c r="C5" s="8"/>
      <c r="D5" s="7">
        <v>57117</v>
      </c>
      <c r="E5" s="7" t="s">
        <v>24</v>
      </c>
      <c r="F5" s="7">
        <v>0</v>
      </c>
      <c r="G5" s="7"/>
      <c r="H5" s="9">
        <v>25654</v>
      </c>
      <c r="I5" s="7"/>
      <c r="J5" s="10"/>
      <c r="K5" s="7"/>
      <c r="M5" s="4"/>
    </row>
    <row r="6" spans="1:32" ht="15.75" customHeight="1" x14ac:dyDescent="0.3">
      <c r="A6" s="7" t="s">
        <v>17</v>
      </c>
      <c r="B6" s="8">
        <v>45888</v>
      </c>
      <c r="C6" s="8"/>
      <c r="D6" s="7">
        <v>57205</v>
      </c>
      <c r="E6" s="7" t="s">
        <v>18</v>
      </c>
      <c r="F6" s="7">
        <v>6</v>
      </c>
      <c r="G6" s="7"/>
      <c r="H6" s="9">
        <v>137495</v>
      </c>
      <c r="I6" s="7"/>
      <c r="J6" s="10"/>
      <c r="K6" s="7"/>
    </row>
    <row r="7" spans="1:32" ht="15.75" customHeight="1" x14ac:dyDescent="0.3">
      <c r="A7" s="7" t="s">
        <v>17</v>
      </c>
      <c r="B7" s="8">
        <v>45888</v>
      </c>
      <c r="C7" s="8"/>
      <c r="D7" s="7">
        <v>57206</v>
      </c>
      <c r="E7" s="7" t="s">
        <v>24</v>
      </c>
      <c r="F7" s="7">
        <v>2</v>
      </c>
      <c r="G7" s="7"/>
      <c r="H7" s="9">
        <v>39237</v>
      </c>
      <c r="I7" s="7"/>
      <c r="J7" s="10"/>
      <c r="K7" s="7"/>
    </row>
    <row r="8" spans="1:32" ht="15.75" customHeight="1" x14ac:dyDescent="0.3">
      <c r="A8" s="7" t="s">
        <v>17</v>
      </c>
      <c r="B8" s="8">
        <v>45888</v>
      </c>
      <c r="C8" s="8"/>
      <c r="D8" s="7">
        <v>57207</v>
      </c>
      <c r="E8" s="7" t="s">
        <v>24</v>
      </c>
      <c r="F8" s="7">
        <v>0</v>
      </c>
      <c r="G8" s="7"/>
      <c r="H8" s="9">
        <v>14804</v>
      </c>
      <c r="I8" s="7"/>
      <c r="J8" s="10"/>
      <c r="K8" s="7"/>
    </row>
    <row r="9" spans="1:32" ht="15.75" customHeight="1" x14ac:dyDescent="0.3">
      <c r="A9" s="7" t="s">
        <v>17</v>
      </c>
      <c r="B9" s="8">
        <v>45888</v>
      </c>
      <c r="C9" s="8"/>
      <c r="D9" s="7">
        <v>57208</v>
      </c>
      <c r="E9" s="7" t="s">
        <v>25</v>
      </c>
      <c r="F9" s="7">
        <v>4</v>
      </c>
      <c r="G9" s="7"/>
      <c r="H9" s="9">
        <v>109837</v>
      </c>
      <c r="I9" s="7"/>
      <c r="J9" s="10"/>
      <c r="K9" s="7"/>
      <c r="M9" s="13"/>
    </row>
    <row r="10" spans="1:32" ht="15.75" customHeight="1" x14ac:dyDescent="0.3">
      <c r="A10" s="7" t="s">
        <v>17</v>
      </c>
      <c r="B10" s="8">
        <v>45888</v>
      </c>
      <c r="C10" s="8"/>
      <c r="D10" s="7">
        <v>57209</v>
      </c>
      <c r="E10" s="7" t="s">
        <v>25</v>
      </c>
      <c r="F10" s="7">
        <v>0</v>
      </c>
      <c r="G10" s="7"/>
      <c r="H10" s="9">
        <v>149616</v>
      </c>
      <c r="I10" s="7"/>
      <c r="J10" s="10"/>
      <c r="K10" s="7"/>
    </row>
    <row r="11" spans="1:32" ht="15.75" customHeight="1" x14ac:dyDescent="0.3">
      <c r="A11" s="7" t="s">
        <v>17</v>
      </c>
      <c r="B11" s="8">
        <v>45895</v>
      </c>
      <c r="C11" s="8"/>
      <c r="D11" s="7">
        <v>57414</v>
      </c>
      <c r="E11" s="7" t="s">
        <v>26</v>
      </c>
      <c r="F11" s="7">
        <v>5</v>
      </c>
      <c r="G11" s="7"/>
      <c r="H11" s="9">
        <v>304033</v>
      </c>
      <c r="I11" s="7"/>
      <c r="J11" s="10"/>
      <c r="K11" s="7"/>
      <c r="N11" s="4"/>
      <c r="O11" s="11"/>
    </row>
    <row r="12" spans="1:32" ht="15.75" customHeight="1" x14ac:dyDescent="0.3">
      <c r="A12" s="7" t="s">
        <v>17</v>
      </c>
      <c r="B12" s="8"/>
      <c r="C12" s="8"/>
      <c r="D12" s="7"/>
      <c r="E12" s="7" t="s">
        <v>27</v>
      </c>
      <c r="F12" s="7">
        <v>6</v>
      </c>
      <c r="G12" s="7"/>
      <c r="H12" s="9"/>
      <c r="I12" s="7"/>
      <c r="J12" s="10"/>
      <c r="K12" s="7"/>
      <c r="N12" s="4"/>
      <c r="O12" s="11"/>
    </row>
    <row r="13" spans="1:32" ht="15.75" customHeight="1" x14ac:dyDescent="0.3">
      <c r="A13" s="7" t="s">
        <v>17</v>
      </c>
      <c r="B13" s="8"/>
      <c r="C13" s="8"/>
      <c r="D13" s="7"/>
      <c r="E13" s="7" t="s">
        <v>28</v>
      </c>
      <c r="F13" s="7">
        <v>6</v>
      </c>
      <c r="G13" s="7"/>
      <c r="H13" s="9"/>
      <c r="I13" s="7"/>
      <c r="J13" s="10"/>
      <c r="K13" s="7"/>
      <c r="N13" s="4"/>
      <c r="O13" s="11"/>
    </row>
    <row r="14" spans="1:32" ht="15.75" customHeight="1" x14ac:dyDescent="0.3">
      <c r="A14" s="7" t="s">
        <v>17</v>
      </c>
      <c r="B14" s="8">
        <v>45895</v>
      </c>
      <c r="C14" s="8"/>
      <c r="D14" s="7">
        <v>57415</v>
      </c>
      <c r="E14" s="7" t="s">
        <v>18</v>
      </c>
      <c r="F14" s="7">
        <v>5</v>
      </c>
      <c r="G14" s="7"/>
      <c r="H14" s="9">
        <v>114579</v>
      </c>
      <c r="I14" s="7"/>
      <c r="J14" s="10"/>
      <c r="K14" s="7"/>
      <c r="N14" s="4"/>
      <c r="O14" s="11"/>
    </row>
    <row r="15" spans="1:32" ht="15.75" customHeight="1" x14ac:dyDescent="0.3">
      <c r="A15" s="7" t="s">
        <v>17</v>
      </c>
      <c r="B15" s="8">
        <v>45895</v>
      </c>
      <c r="C15" s="8"/>
      <c r="D15" s="7">
        <v>57416</v>
      </c>
      <c r="E15" s="7" t="s">
        <v>24</v>
      </c>
      <c r="F15" s="7">
        <v>5</v>
      </c>
      <c r="G15" s="7"/>
      <c r="H15" s="9">
        <v>98092</v>
      </c>
      <c r="I15" s="7"/>
      <c r="J15" s="10"/>
      <c r="K15" s="7"/>
      <c r="N15" s="4"/>
      <c r="O15" s="11"/>
    </row>
    <row r="16" spans="1:32" ht="15.75" customHeight="1" x14ac:dyDescent="0.3">
      <c r="A16" s="7" t="s">
        <v>17</v>
      </c>
      <c r="B16" s="8">
        <v>45895</v>
      </c>
      <c r="C16" s="8"/>
      <c r="D16" s="7">
        <v>57417</v>
      </c>
      <c r="E16" s="7" t="s">
        <v>24</v>
      </c>
      <c r="F16" s="7">
        <v>0</v>
      </c>
      <c r="G16" s="7"/>
      <c r="H16" s="9">
        <v>37009</v>
      </c>
      <c r="I16" s="7"/>
      <c r="J16" s="10"/>
      <c r="K16" s="7"/>
      <c r="N16" s="4"/>
      <c r="O16" s="11"/>
    </row>
    <row r="17" spans="1:16" ht="15.75" customHeight="1" x14ac:dyDescent="0.3">
      <c r="A17" s="7" t="s">
        <v>17</v>
      </c>
      <c r="B17" s="8">
        <v>45897</v>
      </c>
      <c r="C17" s="8"/>
      <c r="D17" s="7">
        <v>57491</v>
      </c>
      <c r="E17" s="7" t="s">
        <v>28</v>
      </c>
      <c r="F17" s="7">
        <v>20</v>
      </c>
      <c r="G17" s="7"/>
      <c r="H17" s="9">
        <v>456722</v>
      </c>
      <c r="I17" s="7"/>
      <c r="J17" s="10"/>
      <c r="K17" s="7"/>
      <c r="N17" s="4"/>
      <c r="O17" s="11"/>
    </row>
    <row r="18" spans="1:16" ht="15.75" customHeight="1" x14ac:dyDescent="0.3">
      <c r="A18" s="7"/>
      <c r="B18" s="8"/>
      <c r="C18" s="8"/>
      <c r="D18" s="7"/>
      <c r="E18" s="7" t="s">
        <v>27</v>
      </c>
      <c r="F18" s="7">
        <v>5</v>
      </c>
      <c r="G18" s="7"/>
      <c r="H18" s="9"/>
      <c r="I18" s="7"/>
      <c r="J18" s="10"/>
      <c r="K18" s="7"/>
      <c r="N18" s="4"/>
      <c r="O18" s="11"/>
    </row>
    <row r="19" spans="1:16" ht="15.75" customHeight="1" x14ac:dyDescent="0.3">
      <c r="A19" s="7" t="s">
        <v>17</v>
      </c>
      <c r="B19" s="8">
        <v>45902</v>
      </c>
      <c r="C19" s="8"/>
      <c r="D19" s="7">
        <v>57609</v>
      </c>
      <c r="E19" s="7" t="s">
        <v>18</v>
      </c>
      <c r="F19" s="7">
        <v>3</v>
      </c>
      <c r="G19" s="7"/>
      <c r="H19" s="9">
        <v>61665</v>
      </c>
      <c r="I19" s="7"/>
      <c r="J19" s="10"/>
      <c r="K19" s="7"/>
      <c r="N19" s="4"/>
      <c r="O19" s="11"/>
    </row>
    <row r="20" spans="1:16" ht="15.75" customHeight="1" x14ac:dyDescent="0.3">
      <c r="A20" s="7" t="s">
        <v>17</v>
      </c>
      <c r="B20" s="8">
        <v>45902</v>
      </c>
      <c r="C20" s="8"/>
      <c r="D20" s="7">
        <v>57610</v>
      </c>
      <c r="E20" s="7" t="s">
        <v>22</v>
      </c>
      <c r="F20" s="7">
        <v>2</v>
      </c>
      <c r="G20" s="7"/>
      <c r="H20" s="9">
        <v>56594</v>
      </c>
      <c r="I20" s="7"/>
      <c r="J20" s="10"/>
      <c r="K20" s="7"/>
      <c r="N20" s="4"/>
      <c r="O20" s="11"/>
    </row>
    <row r="21" spans="1:16" ht="15.75" customHeight="1" x14ac:dyDescent="0.3">
      <c r="A21" s="7" t="s">
        <v>17</v>
      </c>
      <c r="B21" s="8">
        <v>45902</v>
      </c>
      <c r="C21" s="8"/>
      <c r="D21" s="7">
        <v>57611</v>
      </c>
      <c r="E21" s="7" t="s">
        <v>29</v>
      </c>
      <c r="F21" s="7">
        <v>2</v>
      </c>
      <c r="G21" s="7"/>
      <c r="H21" s="9">
        <v>28060</v>
      </c>
      <c r="I21" s="7"/>
      <c r="J21" s="10"/>
      <c r="K21" s="7"/>
      <c r="N21" s="4"/>
      <c r="O21" s="11"/>
    </row>
    <row r="22" spans="1:16" ht="15.75" customHeight="1" x14ac:dyDescent="0.3">
      <c r="A22" s="7" t="s">
        <v>17</v>
      </c>
      <c r="B22" s="8">
        <v>45902</v>
      </c>
      <c r="C22" s="8"/>
      <c r="D22" s="7">
        <v>57612</v>
      </c>
      <c r="E22" s="7" t="s">
        <v>27</v>
      </c>
      <c r="F22" s="7">
        <v>10</v>
      </c>
      <c r="G22" s="7"/>
      <c r="H22" s="9">
        <v>202543</v>
      </c>
      <c r="I22" s="7"/>
      <c r="J22" s="10"/>
      <c r="K22" s="7"/>
      <c r="M22" s="4"/>
      <c r="N22" s="14"/>
      <c r="O22" s="15"/>
    </row>
    <row r="23" spans="1:16" ht="15.75" customHeight="1" x14ac:dyDescent="0.3">
      <c r="A23" s="7"/>
      <c r="B23" s="8"/>
      <c r="C23" s="8"/>
      <c r="D23" s="7"/>
      <c r="E23" s="7" t="s">
        <v>26</v>
      </c>
      <c r="F23" s="7">
        <v>5</v>
      </c>
      <c r="G23" s="7"/>
      <c r="H23" s="9"/>
      <c r="I23" s="7"/>
      <c r="J23" s="10"/>
      <c r="K23" s="7"/>
      <c r="M23" s="4"/>
      <c r="N23" s="14"/>
      <c r="O23" s="15"/>
    </row>
    <row r="24" spans="1:16" ht="15.75" customHeight="1" x14ac:dyDescent="0.3">
      <c r="A24" s="7"/>
      <c r="B24" s="8"/>
      <c r="C24" s="8"/>
      <c r="D24" s="7"/>
      <c r="E24" s="7" t="s">
        <v>30</v>
      </c>
      <c r="F24" s="7">
        <v>1</v>
      </c>
      <c r="G24" s="7"/>
      <c r="H24" s="9"/>
      <c r="I24" s="7"/>
      <c r="J24" s="10"/>
      <c r="K24" s="7"/>
      <c r="M24" s="4"/>
      <c r="N24" s="14"/>
      <c r="O24" s="15"/>
    </row>
    <row r="25" spans="1:16" ht="15.75" customHeight="1" x14ac:dyDescent="0.3">
      <c r="A25" s="7" t="s">
        <v>17</v>
      </c>
      <c r="B25" s="8">
        <v>45902</v>
      </c>
      <c r="C25" s="8"/>
      <c r="D25" s="7">
        <v>57613</v>
      </c>
      <c r="E25" s="7" t="s">
        <v>25</v>
      </c>
      <c r="F25" s="7">
        <v>4</v>
      </c>
      <c r="G25" s="7"/>
      <c r="H25" s="9">
        <v>113298</v>
      </c>
      <c r="I25" s="7"/>
      <c r="J25" s="10"/>
      <c r="K25" s="7"/>
    </row>
    <row r="26" spans="1:16" ht="15.75" customHeight="1" x14ac:dyDescent="0.3">
      <c r="A26" s="7" t="s">
        <v>17</v>
      </c>
      <c r="B26" s="8">
        <v>45902</v>
      </c>
      <c r="C26" s="8"/>
      <c r="D26" s="7">
        <v>57614</v>
      </c>
      <c r="E26" s="7" t="s">
        <v>25</v>
      </c>
      <c r="F26" s="7">
        <v>0</v>
      </c>
      <c r="G26" s="7"/>
      <c r="H26" s="9">
        <v>144447</v>
      </c>
      <c r="I26" s="7"/>
      <c r="J26" s="10"/>
      <c r="K26" s="7"/>
      <c r="P26" s="16"/>
    </row>
    <row r="27" spans="1:16" ht="15.75" customHeight="1" x14ac:dyDescent="0.3">
      <c r="A27" s="7" t="s">
        <v>17</v>
      </c>
      <c r="B27" s="8">
        <v>45905</v>
      </c>
      <c r="C27" s="8"/>
      <c r="D27" s="7">
        <v>57695</v>
      </c>
      <c r="E27" s="7" t="s">
        <v>31</v>
      </c>
      <c r="F27" s="7">
        <v>9</v>
      </c>
      <c r="G27" s="7"/>
      <c r="H27" s="9">
        <v>1020327</v>
      </c>
      <c r="I27" s="7" t="s">
        <v>32</v>
      </c>
      <c r="J27" s="10"/>
      <c r="K27" s="7"/>
      <c r="P27" s="17"/>
    </row>
    <row r="28" spans="1:16" ht="15.75" customHeight="1" x14ac:dyDescent="0.3">
      <c r="A28" s="7"/>
      <c r="B28" s="8"/>
      <c r="C28" s="8"/>
      <c r="D28" s="7"/>
      <c r="E28" s="7" t="s">
        <v>33</v>
      </c>
      <c r="F28" s="7">
        <v>10.65</v>
      </c>
      <c r="G28" s="7"/>
      <c r="H28" s="9"/>
      <c r="I28" s="7"/>
      <c r="J28" s="10"/>
      <c r="K28" s="7"/>
      <c r="P28" s="17"/>
    </row>
    <row r="29" spans="1:16" ht="15.75" customHeight="1" x14ac:dyDescent="0.3">
      <c r="A29" s="7"/>
      <c r="B29" s="8"/>
      <c r="C29" s="8"/>
      <c r="D29" s="7"/>
      <c r="E29" s="7" t="s">
        <v>34</v>
      </c>
      <c r="F29" s="7">
        <v>15</v>
      </c>
      <c r="G29" s="7"/>
      <c r="H29" s="9"/>
      <c r="I29" s="7"/>
      <c r="J29" s="10"/>
      <c r="K29" s="7"/>
      <c r="P29" s="17"/>
    </row>
    <row r="30" spans="1:16" ht="15.75" customHeight="1" x14ac:dyDescent="0.3">
      <c r="A30" s="7"/>
      <c r="B30" s="8"/>
      <c r="C30" s="8"/>
      <c r="D30" s="7"/>
      <c r="E30" s="7" t="s">
        <v>35</v>
      </c>
      <c r="F30" s="7">
        <v>15</v>
      </c>
      <c r="G30" s="7"/>
      <c r="H30" s="9"/>
      <c r="I30" s="7"/>
      <c r="J30" s="10"/>
      <c r="K30" s="7"/>
      <c r="P30" s="17"/>
    </row>
    <row r="31" spans="1:16" ht="15.75" customHeight="1" x14ac:dyDescent="0.3">
      <c r="A31" s="7"/>
      <c r="B31" s="8"/>
      <c r="C31" s="8"/>
      <c r="D31" s="7"/>
      <c r="E31" s="7" t="s">
        <v>36</v>
      </c>
      <c r="F31" s="7">
        <v>3</v>
      </c>
      <c r="G31" s="7"/>
      <c r="H31" s="9"/>
      <c r="I31" s="7"/>
      <c r="J31" s="10"/>
      <c r="K31" s="7"/>
      <c r="P31" s="17"/>
    </row>
    <row r="32" spans="1:16" ht="15.75" customHeight="1" x14ac:dyDescent="0.3">
      <c r="A32" s="7"/>
      <c r="B32" s="8"/>
      <c r="C32" s="8"/>
      <c r="D32" s="7"/>
      <c r="E32" s="7" t="s">
        <v>27</v>
      </c>
      <c r="F32" s="7">
        <v>10</v>
      </c>
      <c r="G32" s="7"/>
      <c r="H32" s="9"/>
      <c r="I32" s="7"/>
      <c r="J32" s="10"/>
      <c r="K32" s="7"/>
      <c r="P32" s="17"/>
    </row>
    <row r="33" spans="1:16" ht="15.75" customHeight="1" x14ac:dyDescent="0.3">
      <c r="A33" s="7"/>
      <c r="B33" s="8"/>
      <c r="C33" s="8"/>
      <c r="D33" s="7"/>
      <c r="E33" s="7" t="s">
        <v>26</v>
      </c>
      <c r="F33" s="7">
        <v>10</v>
      </c>
      <c r="G33" s="7"/>
      <c r="H33" s="9"/>
      <c r="I33" s="7"/>
      <c r="J33" s="10"/>
      <c r="K33" s="7"/>
      <c r="P33" s="17"/>
    </row>
    <row r="34" spans="1:16" ht="15.75" customHeight="1" x14ac:dyDescent="0.3">
      <c r="A34" s="7" t="s">
        <v>17</v>
      </c>
      <c r="B34" s="8">
        <v>45881</v>
      </c>
      <c r="C34" s="8"/>
      <c r="D34" s="7">
        <v>57002</v>
      </c>
      <c r="E34" s="7" t="s">
        <v>18</v>
      </c>
      <c r="F34" s="7">
        <v>3</v>
      </c>
      <c r="G34" s="7"/>
      <c r="H34" s="9">
        <v>63578</v>
      </c>
      <c r="I34" s="7"/>
      <c r="J34" s="10"/>
      <c r="K34" s="7"/>
    </row>
    <row r="35" spans="1:16" ht="15.75" customHeight="1" x14ac:dyDescent="0.3">
      <c r="A35" s="7" t="s">
        <v>17</v>
      </c>
      <c r="B35" s="8">
        <v>45912</v>
      </c>
      <c r="C35" s="8"/>
      <c r="D35" s="7">
        <v>57926</v>
      </c>
      <c r="E35" s="7" t="s">
        <v>27</v>
      </c>
      <c r="F35" s="7">
        <v>5</v>
      </c>
      <c r="G35" s="7"/>
      <c r="H35" s="9">
        <v>758380</v>
      </c>
      <c r="I35" s="7"/>
      <c r="J35" s="10"/>
      <c r="K35" s="7"/>
      <c r="P35" s="11"/>
    </row>
    <row r="36" spans="1:16" ht="15.75" customHeight="1" x14ac:dyDescent="0.3">
      <c r="A36" s="7"/>
      <c r="B36" s="8"/>
      <c r="C36" s="8"/>
      <c r="D36" s="7"/>
      <c r="E36" s="7" t="s">
        <v>37</v>
      </c>
      <c r="F36" s="7">
        <v>30</v>
      </c>
      <c r="G36" s="7"/>
      <c r="H36" s="9"/>
      <c r="I36" s="7"/>
      <c r="J36" s="10"/>
      <c r="K36" s="7"/>
      <c r="P36" s="11"/>
    </row>
    <row r="37" spans="1:16" ht="15.75" customHeight="1" x14ac:dyDescent="0.3">
      <c r="A37" s="7"/>
      <c r="B37" s="8"/>
      <c r="C37" s="8"/>
      <c r="D37" s="7"/>
      <c r="E37" s="7" t="s">
        <v>38</v>
      </c>
      <c r="F37" s="7">
        <v>16</v>
      </c>
      <c r="G37" s="7"/>
      <c r="H37" s="9"/>
      <c r="I37" s="7"/>
      <c r="J37" s="10"/>
      <c r="K37" s="7"/>
      <c r="P37" s="11"/>
    </row>
    <row r="38" spans="1:16" ht="15.75" customHeight="1" x14ac:dyDescent="0.3">
      <c r="A38" s="7"/>
      <c r="B38" s="8"/>
      <c r="C38" s="8"/>
      <c r="D38" s="7"/>
      <c r="E38" s="7" t="s">
        <v>39</v>
      </c>
      <c r="F38" s="7">
        <v>15</v>
      </c>
      <c r="G38" s="7"/>
      <c r="H38" s="9"/>
      <c r="I38" s="7"/>
      <c r="J38" s="10"/>
      <c r="K38" s="7"/>
      <c r="P38" s="11"/>
    </row>
    <row r="39" spans="1:16" ht="15.75" customHeight="1" x14ac:dyDescent="0.3">
      <c r="A39" s="7"/>
      <c r="B39" s="8"/>
      <c r="C39" s="8"/>
      <c r="D39" s="7"/>
      <c r="E39" s="7" t="s">
        <v>40</v>
      </c>
      <c r="F39" s="7">
        <v>20</v>
      </c>
      <c r="G39" s="7"/>
      <c r="H39" s="9"/>
      <c r="I39" s="7"/>
      <c r="J39" s="10"/>
      <c r="K39" s="7"/>
      <c r="P39" s="11"/>
    </row>
    <row r="40" spans="1:16" ht="15.75" customHeight="1" x14ac:dyDescent="0.3">
      <c r="A40" s="7"/>
      <c r="B40" s="8"/>
      <c r="C40" s="8"/>
      <c r="D40" s="7"/>
      <c r="E40" s="7" t="s">
        <v>41</v>
      </c>
      <c r="F40" s="7">
        <v>9</v>
      </c>
      <c r="G40" s="7"/>
      <c r="H40" s="9"/>
      <c r="I40" s="7"/>
      <c r="J40" s="10"/>
      <c r="K40" s="7"/>
      <c r="P40" s="11"/>
    </row>
    <row r="41" spans="1:16" ht="15.75" customHeight="1" x14ac:dyDescent="0.3">
      <c r="A41" s="7"/>
      <c r="B41" s="8"/>
      <c r="C41" s="8"/>
      <c r="D41" s="7"/>
      <c r="E41" s="7" t="s">
        <v>42</v>
      </c>
      <c r="F41" s="7">
        <v>40</v>
      </c>
      <c r="G41" s="7"/>
      <c r="H41" s="9"/>
      <c r="I41" s="7"/>
      <c r="J41" s="10"/>
      <c r="K41" s="7"/>
      <c r="P41" s="11"/>
    </row>
    <row r="42" spans="1:16" ht="15.75" customHeight="1" x14ac:dyDescent="0.3">
      <c r="A42" s="7"/>
      <c r="B42" s="8"/>
      <c r="C42" s="8"/>
      <c r="D42" s="7"/>
      <c r="E42" s="7" t="s">
        <v>43</v>
      </c>
      <c r="F42" s="7">
        <v>3</v>
      </c>
      <c r="G42" s="7"/>
      <c r="H42" s="9"/>
      <c r="I42" s="7"/>
      <c r="J42" s="10"/>
      <c r="K42" s="7"/>
      <c r="P42" s="11"/>
    </row>
    <row r="43" spans="1:16" ht="15.75" customHeight="1" x14ac:dyDescent="0.3">
      <c r="A43" s="7"/>
      <c r="B43" s="8"/>
      <c r="C43" s="8"/>
      <c r="D43" s="7"/>
      <c r="E43" s="7" t="s">
        <v>31</v>
      </c>
      <c r="F43" s="7">
        <v>50.66</v>
      </c>
      <c r="G43" s="7"/>
      <c r="H43" s="9"/>
      <c r="I43" s="7"/>
      <c r="J43" s="10"/>
      <c r="K43" s="7"/>
      <c r="P43" s="11"/>
    </row>
    <row r="44" spans="1:16" ht="15.75" customHeight="1" x14ac:dyDescent="0.3">
      <c r="A44" s="7" t="s">
        <v>17</v>
      </c>
      <c r="B44" s="8">
        <v>45912</v>
      </c>
      <c r="C44" s="8"/>
      <c r="D44" s="7">
        <v>57928</v>
      </c>
      <c r="E44" s="7" t="s">
        <v>44</v>
      </c>
      <c r="F44" s="7">
        <v>3.8</v>
      </c>
      <c r="G44" s="7"/>
      <c r="H44" s="9">
        <v>38075</v>
      </c>
      <c r="I44" s="7"/>
      <c r="J44" s="10"/>
      <c r="K44" s="7"/>
    </row>
    <row r="45" spans="1:16" ht="15.75" customHeight="1" x14ac:dyDescent="0.3">
      <c r="A45" s="7" t="s">
        <v>17</v>
      </c>
      <c r="B45" s="8">
        <v>45926</v>
      </c>
      <c r="C45" s="8"/>
      <c r="D45" s="7">
        <v>58194</v>
      </c>
      <c r="E45" s="7" t="s">
        <v>33</v>
      </c>
      <c r="F45" s="7">
        <v>4</v>
      </c>
      <c r="G45" s="7"/>
      <c r="H45" s="9">
        <v>649169</v>
      </c>
      <c r="I45" s="7"/>
      <c r="J45" s="10"/>
      <c r="K45" s="7"/>
      <c r="L45" s="18"/>
      <c r="M45" s="19"/>
    </row>
    <row r="46" spans="1:16" ht="15.75" customHeight="1" x14ac:dyDescent="0.3">
      <c r="A46" s="7"/>
      <c r="B46" s="8"/>
      <c r="C46" s="8"/>
      <c r="D46" s="7"/>
      <c r="E46" s="7" t="s">
        <v>35</v>
      </c>
      <c r="F46" s="7">
        <v>10</v>
      </c>
      <c r="G46" s="7"/>
      <c r="H46" s="9"/>
      <c r="I46" s="7"/>
      <c r="J46" s="10"/>
      <c r="K46" s="7"/>
      <c r="L46" s="18"/>
      <c r="M46" s="19"/>
    </row>
    <row r="47" spans="1:16" ht="15.75" customHeight="1" x14ac:dyDescent="0.3">
      <c r="A47" s="7"/>
      <c r="B47" s="8"/>
      <c r="C47" s="8"/>
      <c r="D47" s="7"/>
      <c r="E47" s="7" t="s">
        <v>28</v>
      </c>
      <c r="F47" s="7">
        <v>14</v>
      </c>
      <c r="G47" s="7"/>
      <c r="H47" s="9"/>
      <c r="I47" s="7"/>
      <c r="J47" s="10"/>
      <c r="K47" s="7"/>
      <c r="L47" s="18"/>
      <c r="M47" s="19"/>
    </row>
    <row r="48" spans="1:16" ht="15.75" customHeight="1" x14ac:dyDescent="0.3">
      <c r="A48" s="7"/>
      <c r="B48" s="8"/>
      <c r="C48" s="8"/>
      <c r="D48" s="7"/>
      <c r="E48" s="7" t="s">
        <v>44</v>
      </c>
      <c r="F48" s="7">
        <v>7</v>
      </c>
      <c r="G48" s="7"/>
      <c r="H48" s="9"/>
      <c r="I48" s="7"/>
      <c r="J48" s="10"/>
      <c r="K48" s="7"/>
      <c r="L48" s="18"/>
      <c r="M48" s="19"/>
    </row>
    <row r="49" spans="1:14" ht="15.75" customHeight="1" x14ac:dyDescent="0.3">
      <c r="A49" s="7"/>
      <c r="B49" s="8"/>
      <c r="C49" s="8"/>
      <c r="D49" s="7"/>
      <c r="E49" s="7" t="s">
        <v>45</v>
      </c>
      <c r="F49" s="7">
        <v>10</v>
      </c>
      <c r="G49" s="7"/>
      <c r="H49" s="9"/>
      <c r="I49" s="7"/>
      <c r="J49" s="10"/>
      <c r="K49" s="7"/>
      <c r="L49" s="18"/>
      <c r="M49" s="19"/>
    </row>
    <row r="50" spans="1:14" ht="15.75" customHeight="1" x14ac:dyDescent="0.3">
      <c r="A50" s="7" t="s">
        <v>17</v>
      </c>
      <c r="B50" s="8">
        <v>45926</v>
      </c>
      <c r="C50" s="8"/>
      <c r="D50" s="7">
        <v>58201</v>
      </c>
      <c r="E50" s="7" t="s">
        <v>24</v>
      </c>
      <c r="F50" s="7">
        <v>6</v>
      </c>
      <c r="G50" s="7"/>
      <c r="H50" s="9">
        <v>47124</v>
      </c>
      <c r="I50" s="7"/>
      <c r="J50" s="10"/>
      <c r="K50" s="7"/>
      <c r="L50" s="18"/>
      <c r="M50" s="19"/>
    </row>
    <row r="51" spans="1:14" ht="15.75" customHeight="1" x14ac:dyDescent="0.3">
      <c r="A51" s="7" t="s">
        <v>17</v>
      </c>
      <c r="B51" s="8">
        <v>45926</v>
      </c>
      <c r="C51" s="8"/>
      <c r="D51" s="7">
        <v>58202</v>
      </c>
      <c r="E51" s="7" t="s">
        <v>24</v>
      </c>
      <c r="F51" s="7">
        <v>0</v>
      </c>
      <c r="G51" s="7"/>
      <c r="H51" s="9">
        <v>129205</v>
      </c>
      <c r="I51" s="7"/>
      <c r="J51" s="10"/>
      <c r="K51" s="7"/>
      <c r="L51" s="4"/>
      <c r="M51" s="20"/>
    </row>
    <row r="52" spans="1:14" ht="15.75" customHeight="1" x14ac:dyDescent="0.3">
      <c r="A52" s="7" t="s">
        <v>17</v>
      </c>
      <c r="B52" s="8">
        <v>45926</v>
      </c>
      <c r="C52" s="8"/>
      <c r="D52" s="7">
        <v>58203</v>
      </c>
      <c r="E52" s="7" t="s">
        <v>22</v>
      </c>
      <c r="F52" s="7">
        <v>2</v>
      </c>
      <c r="G52" s="7"/>
      <c r="H52" s="9">
        <v>56351</v>
      </c>
      <c r="I52" s="7"/>
      <c r="J52" s="10"/>
      <c r="K52" s="7"/>
      <c r="L52" s="4"/>
      <c r="M52" s="20"/>
      <c r="N52" s="4"/>
    </row>
    <row r="53" spans="1:14" ht="15.75" customHeight="1" x14ac:dyDescent="0.3">
      <c r="A53" s="7" t="s">
        <v>17</v>
      </c>
      <c r="B53" s="8">
        <v>45926</v>
      </c>
      <c r="C53" s="8"/>
      <c r="D53" s="7">
        <v>58206</v>
      </c>
      <c r="E53" s="7" t="s">
        <v>25</v>
      </c>
      <c r="F53" s="7">
        <v>5</v>
      </c>
      <c r="G53" s="7"/>
      <c r="H53" s="9">
        <v>134934</v>
      </c>
      <c r="I53" s="7"/>
      <c r="J53" s="10"/>
      <c r="K53" s="7"/>
      <c r="L53" s="4"/>
      <c r="M53" s="20"/>
      <c r="N53" s="4"/>
    </row>
    <row r="54" spans="1:14" ht="15.75" customHeight="1" x14ac:dyDescent="0.3">
      <c r="A54" s="7" t="s">
        <v>17</v>
      </c>
      <c r="B54" s="8">
        <v>45926</v>
      </c>
      <c r="C54" s="8"/>
      <c r="D54" s="7">
        <v>58207</v>
      </c>
      <c r="E54" s="7" t="s">
        <v>25</v>
      </c>
      <c r="F54" s="7">
        <v>0</v>
      </c>
      <c r="G54" s="7"/>
      <c r="H54" s="9">
        <v>180559</v>
      </c>
      <c r="I54" s="7"/>
      <c r="J54" s="10"/>
      <c r="K54" s="7"/>
      <c r="L54" s="4"/>
      <c r="M54" s="20"/>
    </row>
    <row r="55" spans="1:14" ht="15.75" customHeight="1" x14ac:dyDescent="0.3">
      <c r="A55" s="7" t="s">
        <v>17</v>
      </c>
      <c r="B55" s="8">
        <v>45931</v>
      </c>
      <c r="C55" s="8"/>
      <c r="D55" s="7">
        <v>58330</v>
      </c>
      <c r="E55" s="7" t="s">
        <v>27</v>
      </c>
      <c r="F55" s="7">
        <v>30</v>
      </c>
      <c r="G55" s="7"/>
      <c r="H55" s="9">
        <v>1360998</v>
      </c>
      <c r="I55" s="7"/>
      <c r="J55" s="10"/>
      <c r="K55" s="7"/>
      <c r="L55" s="17"/>
      <c r="M55" s="20"/>
    </row>
    <row r="56" spans="1:14" ht="15.75" customHeight="1" x14ac:dyDescent="0.3">
      <c r="A56" s="7"/>
      <c r="B56" s="8"/>
      <c r="C56" s="8"/>
      <c r="D56" s="7"/>
      <c r="E56" s="7" t="s">
        <v>35</v>
      </c>
      <c r="F56" s="7">
        <v>5</v>
      </c>
      <c r="G56" s="7"/>
      <c r="H56" s="9"/>
      <c r="I56" s="7"/>
      <c r="J56" s="10"/>
      <c r="K56" s="7"/>
      <c r="L56" s="17"/>
      <c r="M56" s="20"/>
    </row>
    <row r="57" spans="1:14" ht="15.75" customHeight="1" x14ac:dyDescent="0.3">
      <c r="A57" s="7"/>
      <c r="B57" s="8"/>
      <c r="C57" s="8"/>
      <c r="D57" s="7"/>
      <c r="E57" s="7" t="s">
        <v>26</v>
      </c>
      <c r="F57" s="7">
        <v>30</v>
      </c>
      <c r="G57" s="7"/>
      <c r="H57" s="9"/>
      <c r="I57" s="7"/>
      <c r="J57" s="10"/>
      <c r="K57" s="7"/>
      <c r="L57" s="17"/>
      <c r="M57" s="20"/>
    </row>
    <row r="58" spans="1:14" ht="15.75" customHeight="1" x14ac:dyDescent="0.3">
      <c r="A58" s="7"/>
      <c r="B58" s="8"/>
      <c r="C58" s="8"/>
      <c r="D58" s="7"/>
      <c r="E58" s="7" t="s">
        <v>28</v>
      </c>
      <c r="F58" s="7">
        <v>20</v>
      </c>
      <c r="G58" s="7"/>
      <c r="H58" s="9"/>
      <c r="I58" s="7"/>
      <c r="J58" s="10"/>
      <c r="K58" s="7"/>
      <c r="L58" s="17"/>
      <c r="M58" s="20"/>
    </row>
    <row r="59" spans="1:14" ht="15.75" customHeight="1" x14ac:dyDescent="0.3">
      <c r="A59" s="7"/>
      <c r="B59" s="8"/>
      <c r="C59" s="8"/>
      <c r="D59" s="7"/>
      <c r="E59" s="7" t="s">
        <v>44</v>
      </c>
      <c r="F59" s="7">
        <v>10</v>
      </c>
      <c r="G59" s="7"/>
      <c r="H59" s="9"/>
      <c r="I59" s="7"/>
      <c r="J59" s="10"/>
      <c r="K59" s="7"/>
      <c r="L59" s="17"/>
      <c r="M59" s="20"/>
    </row>
    <row r="60" spans="1:14" ht="15.75" customHeight="1" x14ac:dyDescent="0.3">
      <c r="A60" s="7"/>
      <c r="B60" s="8"/>
      <c r="C60" s="8"/>
      <c r="D60" s="7"/>
      <c r="E60" s="7" t="s">
        <v>33</v>
      </c>
      <c r="F60" s="7">
        <v>1.2</v>
      </c>
      <c r="G60" s="7"/>
      <c r="H60" s="9"/>
      <c r="I60" s="7"/>
      <c r="J60" s="10"/>
      <c r="K60" s="7"/>
      <c r="L60" s="17"/>
      <c r="M60" s="20"/>
    </row>
    <row r="61" spans="1:14" ht="15.75" customHeight="1" x14ac:dyDescent="0.3">
      <c r="A61" s="7" t="s">
        <v>17</v>
      </c>
      <c r="B61" s="8">
        <v>45931</v>
      </c>
      <c r="C61" s="8"/>
      <c r="D61" s="7">
        <v>58331</v>
      </c>
      <c r="E61" s="7" t="s">
        <v>22</v>
      </c>
      <c r="F61" s="7">
        <v>2</v>
      </c>
      <c r="G61" s="7"/>
      <c r="H61" s="9">
        <v>58167</v>
      </c>
      <c r="I61" s="7"/>
      <c r="J61" s="10"/>
      <c r="K61" s="7"/>
      <c r="L61" s="4"/>
      <c r="M61" s="20"/>
    </row>
    <row r="62" spans="1:14" ht="15.75" customHeight="1" x14ac:dyDescent="0.3">
      <c r="A62" s="7" t="s">
        <v>17</v>
      </c>
      <c r="B62" s="8">
        <v>45931</v>
      </c>
      <c r="C62" s="8"/>
      <c r="D62" s="7">
        <v>58333</v>
      </c>
      <c r="E62" s="7" t="s">
        <v>24</v>
      </c>
      <c r="F62" s="7">
        <v>4</v>
      </c>
      <c r="G62" s="7"/>
      <c r="H62" s="9">
        <v>104953</v>
      </c>
      <c r="I62" s="7"/>
      <c r="J62" s="10"/>
      <c r="K62" s="7"/>
      <c r="L62" s="4"/>
      <c r="M62" s="20"/>
    </row>
    <row r="63" spans="1:14" ht="15.75" customHeight="1" x14ac:dyDescent="0.3">
      <c r="A63" s="7" t="s">
        <v>17</v>
      </c>
      <c r="B63" s="8">
        <v>45931</v>
      </c>
      <c r="C63" s="8"/>
      <c r="D63" s="7">
        <v>58334</v>
      </c>
      <c r="E63" s="7" t="s">
        <v>28</v>
      </c>
      <c r="F63" s="7">
        <v>10</v>
      </c>
      <c r="G63" s="7"/>
      <c r="H63" s="9">
        <v>238714</v>
      </c>
      <c r="I63" s="7"/>
      <c r="J63" s="10"/>
      <c r="K63" s="7"/>
      <c r="L63" s="4"/>
      <c r="M63" s="20"/>
    </row>
    <row r="64" spans="1:14" ht="15.75" customHeight="1" x14ac:dyDescent="0.3">
      <c r="A64" s="7" t="s">
        <v>17</v>
      </c>
      <c r="B64" s="8">
        <v>45933</v>
      </c>
      <c r="C64" s="8"/>
      <c r="D64" s="7">
        <v>58437</v>
      </c>
      <c r="E64" s="7" t="s">
        <v>25</v>
      </c>
      <c r="F64" s="7">
        <v>4</v>
      </c>
      <c r="G64" s="7"/>
      <c r="H64" s="9">
        <v>100365</v>
      </c>
      <c r="I64" s="7"/>
      <c r="J64" s="10"/>
      <c r="K64" s="7"/>
      <c r="L64" s="4"/>
      <c r="M64" s="20"/>
    </row>
    <row r="65" spans="1:12" ht="15.75" customHeight="1" x14ac:dyDescent="0.3">
      <c r="A65" s="7" t="s">
        <v>17</v>
      </c>
      <c r="B65" s="8">
        <v>45933</v>
      </c>
      <c r="C65" s="8"/>
      <c r="D65" s="7">
        <v>58438</v>
      </c>
      <c r="E65" s="7" t="s">
        <v>18</v>
      </c>
      <c r="F65" s="7">
        <v>2</v>
      </c>
      <c r="G65" s="7"/>
      <c r="H65" s="9">
        <v>38982</v>
      </c>
      <c r="I65" s="7"/>
      <c r="J65" s="10"/>
      <c r="K65" s="7"/>
    </row>
    <row r="66" spans="1:12" ht="15.75" customHeight="1" x14ac:dyDescent="0.3">
      <c r="A66" s="7" t="s">
        <v>17</v>
      </c>
      <c r="B66" s="8">
        <v>45933</v>
      </c>
      <c r="C66" s="8"/>
      <c r="D66" s="7">
        <v>58439</v>
      </c>
      <c r="E66" s="7" t="s">
        <v>25</v>
      </c>
      <c r="F66" s="7">
        <v>0</v>
      </c>
      <c r="G66" s="7"/>
      <c r="H66" s="9">
        <v>152753</v>
      </c>
      <c r="I66" s="7" t="s">
        <v>46</v>
      </c>
      <c r="J66" s="10"/>
      <c r="K66" s="7"/>
    </row>
    <row r="67" spans="1:12" ht="15.75" customHeight="1" x14ac:dyDescent="0.3">
      <c r="A67" s="7" t="s">
        <v>17</v>
      </c>
      <c r="B67" s="8">
        <v>45933</v>
      </c>
      <c r="C67" s="8"/>
      <c r="D67" s="7">
        <v>58440</v>
      </c>
      <c r="E67" s="7" t="s">
        <v>47</v>
      </c>
      <c r="F67" s="7">
        <v>10</v>
      </c>
      <c r="G67" s="7"/>
      <c r="H67" s="9">
        <v>14744</v>
      </c>
      <c r="I67" s="7"/>
      <c r="J67" s="10"/>
      <c r="K67" s="7"/>
    </row>
    <row r="68" spans="1:12" ht="15.75" customHeight="1" x14ac:dyDescent="0.3">
      <c r="A68" s="7"/>
      <c r="B68" s="8"/>
      <c r="C68" s="8"/>
      <c r="D68" s="7"/>
      <c r="E68" s="7" t="s">
        <v>42</v>
      </c>
      <c r="F68" s="7">
        <v>10</v>
      </c>
      <c r="G68" s="7"/>
      <c r="H68" s="9"/>
      <c r="I68" s="7"/>
      <c r="J68" s="10"/>
      <c r="K68" s="7"/>
    </row>
    <row r="69" spans="1:12" ht="15.75" customHeight="1" x14ac:dyDescent="0.3">
      <c r="A69" s="7" t="s">
        <v>17</v>
      </c>
      <c r="B69" s="8">
        <v>45933</v>
      </c>
      <c r="C69" s="8"/>
      <c r="D69" s="7">
        <v>58441</v>
      </c>
      <c r="E69" s="7" t="s">
        <v>24</v>
      </c>
      <c r="F69" s="7">
        <v>2</v>
      </c>
      <c r="G69" s="7"/>
      <c r="H69" s="9">
        <v>46046</v>
      </c>
      <c r="I69" s="7"/>
      <c r="J69" s="10"/>
      <c r="K69" s="7"/>
    </row>
    <row r="70" spans="1:12" ht="15.75" customHeight="1" x14ac:dyDescent="0.3">
      <c r="A70" s="7" t="s">
        <v>17</v>
      </c>
      <c r="B70" s="8">
        <v>45933</v>
      </c>
      <c r="C70" s="8"/>
      <c r="D70" s="7">
        <v>58442</v>
      </c>
      <c r="E70" s="7" t="s">
        <v>24</v>
      </c>
      <c r="F70" s="7">
        <v>0</v>
      </c>
      <c r="G70" s="7"/>
      <c r="H70" s="9">
        <v>10048</v>
      </c>
      <c r="I70" s="7"/>
      <c r="J70" s="10"/>
      <c r="K70" s="7"/>
    </row>
    <row r="71" spans="1:12" ht="15.75" customHeight="1" x14ac:dyDescent="0.3">
      <c r="A71" s="7" t="s">
        <v>17</v>
      </c>
      <c r="B71" s="8">
        <v>45908</v>
      </c>
      <c r="C71" s="8"/>
      <c r="D71" s="7">
        <v>57757</v>
      </c>
      <c r="E71" s="7" t="s">
        <v>44</v>
      </c>
      <c r="F71" s="7">
        <v>6</v>
      </c>
      <c r="G71" s="7"/>
      <c r="H71" s="9">
        <v>60119</v>
      </c>
      <c r="I71" s="7"/>
      <c r="J71" s="10"/>
      <c r="K71" s="7"/>
    </row>
    <row r="72" spans="1:12" ht="15.75" customHeight="1" x14ac:dyDescent="0.3">
      <c r="A72" s="7" t="s">
        <v>17</v>
      </c>
      <c r="B72" s="8">
        <v>45940</v>
      </c>
      <c r="C72" s="8"/>
      <c r="D72" s="7">
        <v>58605</v>
      </c>
      <c r="E72" s="7" t="s">
        <v>18</v>
      </c>
      <c r="F72" s="7">
        <v>4</v>
      </c>
      <c r="G72" s="7"/>
      <c r="H72" s="9">
        <v>93491</v>
      </c>
      <c r="I72" s="7"/>
      <c r="J72" s="10"/>
      <c r="K72" s="7"/>
      <c r="L72" s="4"/>
    </row>
    <row r="73" spans="1:12" ht="15.75" customHeight="1" x14ac:dyDescent="0.3">
      <c r="A73" s="7" t="s">
        <v>17</v>
      </c>
      <c r="B73" s="8">
        <v>45940</v>
      </c>
      <c r="C73" s="8"/>
      <c r="D73" s="7">
        <v>58606</v>
      </c>
      <c r="E73" s="7" t="s">
        <v>22</v>
      </c>
      <c r="F73" s="7">
        <v>2</v>
      </c>
      <c r="G73" s="7"/>
      <c r="H73" s="9">
        <v>60680</v>
      </c>
      <c r="I73" s="7"/>
      <c r="J73" s="10"/>
      <c r="K73" s="7"/>
    </row>
    <row r="74" spans="1:12" ht="15.75" customHeight="1" x14ac:dyDescent="0.3">
      <c r="A74" s="7" t="s">
        <v>17</v>
      </c>
      <c r="B74" s="8">
        <v>45940</v>
      </c>
      <c r="C74" s="8"/>
      <c r="D74" s="7">
        <v>58607</v>
      </c>
      <c r="E74" s="7" t="s">
        <v>24</v>
      </c>
      <c r="F74" s="7">
        <v>1</v>
      </c>
      <c r="G74" s="7"/>
      <c r="H74" s="9">
        <v>15941</v>
      </c>
      <c r="I74" s="7"/>
      <c r="J74" s="10"/>
      <c r="K74" s="7"/>
    </row>
    <row r="75" spans="1:12" ht="15.75" customHeight="1" x14ac:dyDescent="0.3">
      <c r="A75" s="7" t="s">
        <v>17</v>
      </c>
      <c r="B75" s="8">
        <v>45940</v>
      </c>
      <c r="C75" s="8"/>
      <c r="D75" s="7">
        <v>58608</v>
      </c>
      <c r="E75" s="7" t="s">
        <v>24</v>
      </c>
      <c r="F75" s="7">
        <v>0</v>
      </c>
      <c r="G75" s="7"/>
      <c r="H75" s="9">
        <v>13210</v>
      </c>
      <c r="I75" s="7"/>
      <c r="J75" s="10"/>
      <c r="K75" s="7"/>
    </row>
    <row r="76" spans="1:12" ht="15.75" customHeight="1" x14ac:dyDescent="0.3">
      <c r="A76" s="7" t="s">
        <v>17</v>
      </c>
      <c r="B76" s="8">
        <v>45940</v>
      </c>
      <c r="C76" s="8"/>
      <c r="D76" s="7">
        <v>58609</v>
      </c>
      <c r="E76" s="7" t="s">
        <v>25</v>
      </c>
      <c r="F76" s="7">
        <v>2</v>
      </c>
      <c r="G76" s="7"/>
      <c r="H76" s="9">
        <v>57648</v>
      </c>
      <c r="I76" s="7"/>
      <c r="J76" s="10"/>
      <c r="K76" s="7"/>
    </row>
    <row r="77" spans="1:12" ht="15.75" customHeight="1" x14ac:dyDescent="0.3">
      <c r="A77" s="7" t="s">
        <v>17</v>
      </c>
      <c r="B77" s="8">
        <v>45940</v>
      </c>
      <c r="C77" s="8"/>
      <c r="D77" s="7">
        <v>58610</v>
      </c>
      <c r="E77" s="7" t="s">
        <v>25</v>
      </c>
      <c r="F77" s="7">
        <v>0</v>
      </c>
      <c r="G77" s="7"/>
      <c r="H77" s="9">
        <v>72223</v>
      </c>
      <c r="I77" s="7"/>
      <c r="J77" s="10"/>
      <c r="K77" s="7"/>
    </row>
    <row r="78" spans="1:12" ht="15.75" customHeight="1" x14ac:dyDescent="0.3">
      <c r="A78" s="7" t="s">
        <v>17</v>
      </c>
      <c r="B78" s="8">
        <v>45940</v>
      </c>
      <c r="C78" s="8"/>
      <c r="D78" s="7">
        <v>58613</v>
      </c>
      <c r="E78" s="7" t="s">
        <v>48</v>
      </c>
      <c r="F78" s="7">
        <v>1</v>
      </c>
      <c r="G78" s="7"/>
      <c r="H78" s="9">
        <v>37217</v>
      </c>
      <c r="I78" s="7" t="s">
        <v>49</v>
      </c>
      <c r="J78" s="10"/>
      <c r="K78" s="7" t="s">
        <v>50</v>
      </c>
    </row>
    <row r="79" spans="1:12" ht="15.75" customHeight="1" x14ac:dyDescent="0.3">
      <c r="A79" s="7" t="s">
        <v>17</v>
      </c>
      <c r="B79" s="8">
        <v>45944</v>
      </c>
      <c r="C79" s="8" t="s">
        <v>51</v>
      </c>
      <c r="D79" s="7">
        <v>58698</v>
      </c>
      <c r="E79" s="7" t="s">
        <v>27</v>
      </c>
      <c r="F79" s="7">
        <v>4.8</v>
      </c>
      <c r="G79" s="7"/>
      <c r="H79" s="9">
        <v>116982</v>
      </c>
      <c r="I79" s="7"/>
      <c r="J79" s="10"/>
      <c r="K79" s="7"/>
    </row>
    <row r="80" spans="1:12" ht="15.75" customHeight="1" x14ac:dyDescent="0.3">
      <c r="A80" s="7" t="s">
        <v>17</v>
      </c>
      <c r="B80" s="8"/>
      <c r="C80" s="7"/>
      <c r="D80" s="7"/>
      <c r="E80" s="7" t="s">
        <v>35</v>
      </c>
      <c r="F80" s="7">
        <v>2.4</v>
      </c>
      <c r="G80" s="7"/>
      <c r="H80" s="9"/>
      <c r="I80" s="7"/>
      <c r="J80" s="10"/>
      <c r="K80" s="7"/>
    </row>
    <row r="81" spans="1:13" ht="15.75" customHeight="1" x14ac:dyDescent="0.3">
      <c r="A81" s="7" t="s">
        <v>17</v>
      </c>
      <c r="B81" s="8">
        <v>45946</v>
      </c>
      <c r="C81" s="8" t="s">
        <v>51</v>
      </c>
      <c r="D81" s="7">
        <v>58762</v>
      </c>
      <c r="E81" s="7" t="s">
        <v>27</v>
      </c>
      <c r="F81" s="7">
        <v>2.4</v>
      </c>
      <c r="G81" s="7"/>
      <c r="H81" s="9">
        <v>171303</v>
      </c>
      <c r="I81" s="7"/>
      <c r="J81" s="10"/>
      <c r="K81" s="7"/>
    </row>
    <row r="82" spans="1:13" ht="15.75" customHeight="1" x14ac:dyDescent="0.3">
      <c r="A82" s="7" t="s">
        <v>17</v>
      </c>
      <c r="B82" s="8"/>
      <c r="C82" s="7"/>
      <c r="D82" s="7"/>
      <c r="E82" s="7" t="s">
        <v>35</v>
      </c>
      <c r="F82" s="7">
        <v>2.4</v>
      </c>
      <c r="G82" s="7"/>
      <c r="H82" s="9"/>
      <c r="I82" s="7"/>
      <c r="J82" s="10"/>
      <c r="K82" s="7"/>
      <c r="M82" s="11"/>
    </row>
    <row r="83" spans="1:13" ht="15.75" customHeight="1" x14ac:dyDescent="0.3">
      <c r="A83" s="7" t="s">
        <v>17</v>
      </c>
      <c r="B83" s="8"/>
      <c r="C83" s="7"/>
      <c r="D83" s="7"/>
      <c r="E83" s="7" t="s">
        <v>44</v>
      </c>
      <c r="F83" s="7">
        <v>4.8</v>
      </c>
      <c r="G83" s="7"/>
      <c r="H83" s="9"/>
      <c r="I83" s="7"/>
      <c r="J83" s="10"/>
      <c r="K83" s="7"/>
    </row>
    <row r="84" spans="1:13" ht="15.75" customHeight="1" x14ac:dyDescent="0.3">
      <c r="A84" s="7" t="s">
        <v>17</v>
      </c>
      <c r="B84" s="8"/>
      <c r="C84" s="7"/>
      <c r="D84" s="7"/>
      <c r="E84" s="7" t="s">
        <v>34</v>
      </c>
      <c r="F84" s="7">
        <v>2.4</v>
      </c>
      <c r="G84" s="7"/>
      <c r="H84" s="9"/>
      <c r="I84" s="7"/>
      <c r="J84" s="10"/>
      <c r="K84" s="7"/>
    </row>
    <row r="85" spans="1:13" ht="15.75" customHeight="1" x14ac:dyDescent="0.3">
      <c r="A85" s="7" t="s">
        <v>17</v>
      </c>
      <c r="B85" s="8">
        <v>45946</v>
      </c>
      <c r="C85" s="8" t="s">
        <v>51</v>
      </c>
      <c r="D85" s="7">
        <v>58763</v>
      </c>
      <c r="E85" s="7" t="s">
        <v>24</v>
      </c>
      <c r="F85" s="7">
        <v>6</v>
      </c>
      <c r="G85" s="7"/>
      <c r="H85" s="9">
        <v>116432</v>
      </c>
      <c r="I85" s="7"/>
      <c r="J85" s="10"/>
      <c r="K85" s="7"/>
    </row>
    <row r="86" spans="1:13" ht="15.75" customHeight="1" x14ac:dyDescent="0.3">
      <c r="A86" s="7" t="s">
        <v>17</v>
      </c>
      <c r="B86" s="8">
        <v>45946</v>
      </c>
      <c r="C86" s="8" t="s">
        <v>51</v>
      </c>
      <c r="D86" s="7">
        <v>58764</v>
      </c>
      <c r="E86" s="7" t="s">
        <v>24</v>
      </c>
      <c r="F86" s="7">
        <v>0</v>
      </c>
      <c r="G86" s="7"/>
      <c r="H86" s="9">
        <v>52301</v>
      </c>
      <c r="I86" s="7"/>
      <c r="J86" s="10"/>
      <c r="K86" s="7"/>
    </row>
    <row r="87" spans="1:13" ht="15.75" customHeight="1" x14ac:dyDescent="0.3">
      <c r="A87" s="7" t="s">
        <v>17</v>
      </c>
      <c r="B87" s="8">
        <v>45946</v>
      </c>
      <c r="C87" s="8" t="s">
        <v>51</v>
      </c>
      <c r="D87" s="7">
        <v>58766</v>
      </c>
      <c r="E87" s="7" t="s">
        <v>25</v>
      </c>
      <c r="F87" s="7">
        <v>1</v>
      </c>
      <c r="G87" s="7"/>
      <c r="H87" s="9">
        <v>28824</v>
      </c>
      <c r="I87" s="7"/>
      <c r="J87" s="10"/>
      <c r="K87" s="7"/>
    </row>
    <row r="88" spans="1:13" ht="15.75" customHeight="1" x14ac:dyDescent="0.3">
      <c r="A88" s="7" t="s">
        <v>17</v>
      </c>
      <c r="B88" s="8">
        <v>45946</v>
      </c>
      <c r="C88" s="8" t="s">
        <v>51</v>
      </c>
      <c r="D88" s="7">
        <v>58767</v>
      </c>
      <c r="E88" s="7" t="s">
        <v>25</v>
      </c>
      <c r="F88" s="7">
        <v>0</v>
      </c>
      <c r="G88" s="7"/>
      <c r="H88" s="9">
        <v>34204</v>
      </c>
      <c r="I88" s="7"/>
      <c r="J88" s="10"/>
      <c r="K88" s="7"/>
    </row>
    <row r="89" spans="1:13" ht="15.75" customHeight="1" x14ac:dyDescent="0.3">
      <c r="A89" s="7" t="s">
        <v>52</v>
      </c>
      <c r="B89" s="8">
        <v>45945</v>
      </c>
      <c r="C89" s="8" t="s">
        <v>51</v>
      </c>
      <c r="D89" s="7">
        <v>5418</v>
      </c>
      <c r="E89" s="7" t="s">
        <v>53</v>
      </c>
      <c r="F89" s="7">
        <v>211.2</v>
      </c>
      <c r="G89" s="7"/>
      <c r="H89" s="9">
        <v>2112010</v>
      </c>
      <c r="I89" s="7"/>
      <c r="J89" s="10"/>
      <c r="K89" s="7"/>
    </row>
    <row r="90" spans="1:13" ht="15.75" customHeight="1" x14ac:dyDescent="0.3">
      <c r="A90" s="7" t="s">
        <v>17</v>
      </c>
      <c r="B90" s="8">
        <v>45957</v>
      </c>
      <c r="C90" s="8" t="s">
        <v>51</v>
      </c>
      <c r="D90" s="7">
        <v>59046</v>
      </c>
      <c r="E90" s="7" t="s">
        <v>27</v>
      </c>
      <c r="F90" s="7">
        <v>24</v>
      </c>
      <c r="G90" s="7"/>
      <c r="H90" s="9">
        <v>356029</v>
      </c>
      <c r="I90" s="7"/>
      <c r="J90" s="10"/>
      <c r="K90" s="7"/>
    </row>
    <row r="91" spans="1:13" ht="15.75" customHeight="1" x14ac:dyDescent="0.3">
      <c r="A91" s="7" t="s">
        <v>17</v>
      </c>
      <c r="B91" s="8"/>
      <c r="C91" s="7"/>
      <c r="D91" s="7"/>
      <c r="E91" s="7" t="s">
        <v>35</v>
      </c>
      <c r="F91" s="7">
        <v>2.4</v>
      </c>
      <c r="G91" s="7"/>
      <c r="H91" s="9"/>
      <c r="I91" s="7"/>
      <c r="J91" s="10"/>
      <c r="K91" s="7"/>
    </row>
    <row r="92" spans="1:13" ht="15.75" customHeight="1" x14ac:dyDescent="0.3">
      <c r="A92" s="7" t="s">
        <v>17</v>
      </c>
      <c r="B92" s="8">
        <v>45915</v>
      </c>
      <c r="C92" s="8" t="s">
        <v>51</v>
      </c>
      <c r="D92" s="7">
        <v>58008</v>
      </c>
      <c r="E92" s="7" t="s">
        <v>26</v>
      </c>
      <c r="F92" s="7">
        <v>20</v>
      </c>
      <c r="G92" s="7"/>
      <c r="H92" s="9">
        <v>442285</v>
      </c>
      <c r="I92" s="7" t="s">
        <v>54</v>
      </c>
      <c r="J92" s="10"/>
      <c r="K92" s="7"/>
    </row>
    <row r="93" spans="1:13" ht="15.75" customHeight="1" x14ac:dyDescent="0.3">
      <c r="A93" s="7"/>
      <c r="B93" s="8"/>
      <c r="C93" s="8"/>
      <c r="D93" s="7"/>
      <c r="E93" s="7" t="s">
        <v>27</v>
      </c>
      <c r="F93" s="7">
        <v>15</v>
      </c>
      <c r="G93" s="7"/>
      <c r="H93" s="9"/>
      <c r="I93" s="7"/>
      <c r="J93" s="10"/>
      <c r="K93" s="7"/>
    </row>
    <row r="94" spans="1:13" ht="15.75" customHeight="1" x14ac:dyDescent="0.3">
      <c r="A94" s="7" t="s">
        <v>17</v>
      </c>
      <c r="B94" s="8">
        <v>45973</v>
      </c>
      <c r="C94" s="8" t="s">
        <v>51</v>
      </c>
      <c r="D94" s="7">
        <v>59569</v>
      </c>
      <c r="E94" s="7" t="s">
        <v>27</v>
      </c>
      <c r="F94" s="7">
        <v>10</v>
      </c>
      <c r="G94" s="7"/>
      <c r="H94" s="9">
        <v>440310</v>
      </c>
      <c r="I94" s="7"/>
      <c r="J94" s="10"/>
      <c r="K94" s="7"/>
    </row>
    <row r="95" spans="1:13" ht="15.75" customHeight="1" outlineLevel="1" x14ac:dyDescent="0.3">
      <c r="A95" s="7"/>
      <c r="B95" s="8"/>
      <c r="C95" s="8"/>
      <c r="D95" s="7"/>
      <c r="E95" s="7" t="s">
        <v>34</v>
      </c>
      <c r="F95" s="7">
        <v>5</v>
      </c>
      <c r="G95" s="7"/>
      <c r="H95" s="9"/>
      <c r="I95" s="7"/>
      <c r="J95" s="10"/>
      <c r="K95" s="7"/>
    </row>
    <row r="96" spans="1:13" ht="15.75" customHeight="1" outlineLevel="1" x14ac:dyDescent="0.3">
      <c r="A96" s="7"/>
      <c r="B96" s="8"/>
      <c r="C96" s="8"/>
      <c r="D96" s="7"/>
      <c r="E96" s="7" t="s">
        <v>35</v>
      </c>
      <c r="F96" s="7">
        <v>5</v>
      </c>
      <c r="G96" s="7"/>
      <c r="H96" s="9"/>
      <c r="I96" s="7"/>
      <c r="J96" s="10"/>
      <c r="K96" s="7"/>
    </row>
    <row r="97" spans="1:11" ht="15.75" customHeight="1" outlineLevel="1" x14ac:dyDescent="0.3">
      <c r="A97" s="7"/>
      <c r="B97" s="8"/>
      <c r="C97" s="8"/>
      <c r="D97" s="7"/>
      <c r="E97" s="7" t="s">
        <v>26</v>
      </c>
      <c r="F97" s="7">
        <v>10</v>
      </c>
      <c r="G97" s="7"/>
      <c r="H97" s="9"/>
      <c r="I97" s="7"/>
      <c r="J97" s="10"/>
      <c r="K97" s="7"/>
    </row>
    <row r="98" spans="1:11" ht="15.75" customHeight="1" outlineLevel="1" x14ac:dyDescent="0.3">
      <c r="A98" s="7"/>
      <c r="B98" s="8"/>
      <c r="C98" s="8"/>
      <c r="D98" s="7"/>
      <c r="E98" s="7" t="s">
        <v>44</v>
      </c>
      <c r="F98" s="7">
        <v>2.4</v>
      </c>
      <c r="G98" s="7"/>
      <c r="H98" s="9"/>
      <c r="I98" s="7"/>
      <c r="J98" s="10"/>
      <c r="K98" s="7"/>
    </row>
    <row r="99" spans="1:11" ht="15.75" customHeight="1" x14ac:dyDescent="0.3">
      <c r="A99" s="7" t="s">
        <v>17</v>
      </c>
      <c r="B99" s="8">
        <v>45973</v>
      </c>
      <c r="C99" s="8" t="s">
        <v>51</v>
      </c>
      <c r="D99" s="7">
        <v>59570</v>
      </c>
      <c r="E99" s="7" t="s">
        <v>22</v>
      </c>
      <c r="F99" s="7">
        <v>3</v>
      </c>
      <c r="G99" s="7"/>
      <c r="H99" s="9">
        <v>90971</v>
      </c>
      <c r="I99" s="7"/>
      <c r="J99" s="10"/>
      <c r="K99" s="7"/>
    </row>
    <row r="100" spans="1:11" ht="15.75" customHeight="1" x14ac:dyDescent="0.3">
      <c r="A100" s="7" t="s">
        <v>17</v>
      </c>
      <c r="B100" s="8">
        <v>45973</v>
      </c>
      <c r="C100" s="8" t="s">
        <v>51</v>
      </c>
      <c r="D100" s="7">
        <v>59571</v>
      </c>
      <c r="E100" s="7" t="s">
        <v>18</v>
      </c>
      <c r="F100" s="7">
        <v>3</v>
      </c>
      <c r="G100" s="7"/>
      <c r="H100" s="9">
        <v>70118</v>
      </c>
      <c r="I100" s="7"/>
      <c r="J100" s="10"/>
      <c r="K100" s="7"/>
    </row>
    <row r="101" spans="1:11" ht="15.75" customHeight="1" x14ac:dyDescent="0.3">
      <c r="A101" s="7" t="s">
        <v>17</v>
      </c>
      <c r="B101" s="8">
        <v>45973</v>
      </c>
      <c r="C101" s="8" t="s">
        <v>51</v>
      </c>
      <c r="D101" s="7">
        <v>59572</v>
      </c>
      <c r="E101" s="7" t="s">
        <v>24</v>
      </c>
      <c r="F101" s="7">
        <v>4</v>
      </c>
      <c r="G101" s="7"/>
      <c r="H101" s="9">
        <v>57701</v>
      </c>
      <c r="I101" s="7"/>
      <c r="J101" s="10"/>
      <c r="K101" s="7"/>
    </row>
    <row r="102" spans="1:11" ht="15.75" customHeight="1" x14ac:dyDescent="0.3">
      <c r="A102" s="7" t="s">
        <v>17</v>
      </c>
      <c r="B102" s="8">
        <v>45973</v>
      </c>
      <c r="C102" s="8" t="s">
        <v>51</v>
      </c>
      <c r="D102" s="7">
        <v>59573</v>
      </c>
      <c r="E102" s="7" t="s">
        <v>24</v>
      </c>
      <c r="F102" s="7">
        <v>0</v>
      </c>
      <c r="G102" s="7"/>
      <c r="H102" s="9">
        <v>46015</v>
      </c>
      <c r="I102" s="7"/>
      <c r="J102" s="10"/>
      <c r="K102" s="7"/>
    </row>
    <row r="103" spans="1:11" ht="15.75" customHeight="1" x14ac:dyDescent="0.3">
      <c r="A103" s="7" t="s">
        <v>17</v>
      </c>
      <c r="B103" s="8">
        <v>45973</v>
      </c>
      <c r="C103" s="8" t="s">
        <v>51</v>
      </c>
      <c r="D103" s="7">
        <v>59574</v>
      </c>
      <c r="E103" s="7" t="s">
        <v>25</v>
      </c>
      <c r="F103" s="7">
        <v>4</v>
      </c>
      <c r="G103" s="7"/>
      <c r="H103" s="9">
        <v>101793</v>
      </c>
      <c r="I103" s="7"/>
      <c r="J103" s="10"/>
      <c r="K103" s="7"/>
    </row>
    <row r="104" spans="1:11" ht="15" customHeight="1" x14ac:dyDescent="0.3">
      <c r="A104" s="7" t="s">
        <v>17</v>
      </c>
      <c r="B104" s="8">
        <v>45973</v>
      </c>
      <c r="C104" s="8" t="s">
        <v>51</v>
      </c>
      <c r="D104" s="7">
        <v>59575</v>
      </c>
      <c r="E104" s="7" t="s">
        <v>25</v>
      </c>
      <c r="F104" s="7">
        <v>0</v>
      </c>
      <c r="G104" s="7"/>
      <c r="H104" s="9">
        <v>131909</v>
      </c>
      <c r="I104" s="7"/>
      <c r="J104" s="10"/>
      <c r="K104" s="7"/>
    </row>
    <row r="105" spans="1:11" ht="15.75" customHeight="1" x14ac:dyDescent="0.3">
      <c r="A105" s="7" t="s">
        <v>17</v>
      </c>
      <c r="B105" s="8">
        <v>45973</v>
      </c>
      <c r="C105" s="8" t="s">
        <v>51</v>
      </c>
      <c r="D105" s="7">
        <v>59576</v>
      </c>
      <c r="E105" s="7" t="s">
        <v>36</v>
      </c>
      <c r="F105" s="7">
        <v>2</v>
      </c>
      <c r="G105" s="7"/>
      <c r="H105" s="9">
        <v>81777</v>
      </c>
      <c r="I105" s="7"/>
      <c r="J105" s="10"/>
      <c r="K105" s="7"/>
    </row>
    <row r="106" spans="1:11" ht="15.75" customHeight="1" outlineLevel="1" x14ac:dyDescent="0.3">
      <c r="A106" s="7"/>
      <c r="B106" s="8"/>
      <c r="C106" s="8"/>
      <c r="D106" s="7"/>
      <c r="E106" s="7" t="s">
        <v>31</v>
      </c>
      <c r="F106" s="7">
        <v>2.66</v>
      </c>
      <c r="G106" s="7"/>
      <c r="H106" s="9"/>
      <c r="I106" s="7"/>
      <c r="J106" s="10"/>
      <c r="K106" s="7"/>
    </row>
    <row r="107" spans="1:11" ht="15.75" customHeight="1" x14ac:dyDescent="0.3">
      <c r="A107" s="7" t="s">
        <v>17</v>
      </c>
      <c r="B107" s="8">
        <v>45980</v>
      </c>
      <c r="C107" s="8" t="s">
        <v>51</v>
      </c>
      <c r="D107" s="7">
        <v>59775</v>
      </c>
      <c r="E107" s="7" t="s">
        <v>27</v>
      </c>
      <c r="F107" s="7">
        <v>5</v>
      </c>
      <c r="G107" s="7"/>
      <c r="H107" s="9">
        <v>273462</v>
      </c>
      <c r="I107" s="7"/>
      <c r="J107" s="10"/>
      <c r="K107" s="7"/>
    </row>
    <row r="108" spans="1:11" ht="15.75" customHeight="1" x14ac:dyDescent="0.3">
      <c r="A108" s="7"/>
      <c r="B108" s="8"/>
      <c r="C108" s="8"/>
      <c r="D108" s="7"/>
      <c r="E108" s="7" t="s">
        <v>31</v>
      </c>
      <c r="F108" s="7">
        <v>16</v>
      </c>
      <c r="G108" s="7"/>
      <c r="H108" s="9"/>
      <c r="I108" s="7"/>
      <c r="J108" s="10"/>
      <c r="K108" s="7"/>
    </row>
    <row r="109" spans="1:11" ht="15.75" customHeight="1" x14ac:dyDescent="0.3">
      <c r="A109" s="7" t="s">
        <v>17</v>
      </c>
      <c r="B109" s="8">
        <v>45983</v>
      </c>
      <c r="C109" s="8" t="s">
        <v>51</v>
      </c>
      <c r="D109" s="7">
        <v>59886</v>
      </c>
      <c r="E109" s="7" t="s">
        <v>55</v>
      </c>
      <c r="F109" s="7">
        <v>12</v>
      </c>
      <c r="G109" s="7"/>
      <c r="H109" s="9">
        <v>18307</v>
      </c>
      <c r="I109" s="7"/>
      <c r="J109" s="10"/>
      <c r="K109" s="7"/>
    </row>
    <row r="110" spans="1:11" ht="15.75" customHeight="1" x14ac:dyDescent="0.3">
      <c r="A110" s="7" t="s">
        <v>17</v>
      </c>
      <c r="B110" s="8">
        <v>45983</v>
      </c>
      <c r="C110" s="8" t="s">
        <v>51</v>
      </c>
      <c r="D110" s="7">
        <v>59887</v>
      </c>
      <c r="E110" s="7" t="s">
        <v>24</v>
      </c>
      <c r="F110" s="7">
        <v>3</v>
      </c>
      <c r="G110" s="7"/>
      <c r="H110" s="9">
        <v>71161</v>
      </c>
      <c r="I110" s="7"/>
      <c r="J110" s="10"/>
      <c r="K110" s="7"/>
    </row>
    <row r="111" spans="1:11" ht="15.75" customHeight="1" x14ac:dyDescent="0.3">
      <c r="A111" s="7" t="s">
        <v>17</v>
      </c>
      <c r="B111" s="8">
        <v>45983</v>
      </c>
      <c r="C111" s="8" t="s">
        <v>51</v>
      </c>
      <c r="D111" s="7">
        <v>59888</v>
      </c>
      <c r="E111" s="7" t="s">
        <v>25</v>
      </c>
      <c r="F111" s="7">
        <v>1</v>
      </c>
      <c r="G111" s="7"/>
      <c r="H111" s="9">
        <v>25511</v>
      </c>
      <c r="I111" s="7"/>
      <c r="J111" s="10"/>
      <c r="K111" s="7"/>
    </row>
    <row r="112" spans="1:11" ht="15.75" customHeight="1" x14ac:dyDescent="0.3">
      <c r="A112" s="7" t="s">
        <v>17</v>
      </c>
      <c r="B112" s="8">
        <v>45983</v>
      </c>
      <c r="C112" s="8" t="s">
        <v>51</v>
      </c>
      <c r="D112" s="7">
        <v>59889</v>
      </c>
      <c r="E112" s="7" t="s">
        <v>25</v>
      </c>
      <c r="F112" s="7">
        <v>0</v>
      </c>
      <c r="G112" s="7"/>
      <c r="H112" s="9">
        <v>35887</v>
      </c>
      <c r="I112" s="7"/>
      <c r="J112" s="10"/>
      <c r="K112" s="7"/>
    </row>
    <row r="113" spans="1:11" ht="15.75" customHeight="1" x14ac:dyDescent="0.3">
      <c r="A113" s="7" t="s">
        <v>17</v>
      </c>
      <c r="B113" s="8">
        <v>45983</v>
      </c>
      <c r="C113" s="7" t="s">
        <v>51</v>
      </c>
      <c r="D113" s="7">
        <v>59890</v>
      </c>
      <c r="E113" s="7" t="s">
        <v>24</v>
      </c>
      <c r="F113" s="7">
        <v>0</v>
      </c>
      <c r="G113" s="7"/>
      <c r="H113" s="9">
        <v>6654</v>
      </c>
      <c r="I113" s="7"/>
      <c r="J113" s="10"/>
      <c r="K113" s="7"/>
    </row>
    <row r="114" spans="1:11" ht="15.75" customHeight="1" x14ac:dyDescent="0.3">
      <c r="A114" s="7" t="s">
        <v>52</v>
      </c>
      <c r="B114" s="8">
        <v>45988</v>
      </c>
      <c r="C114" s="8"/>
      <c r="D114" s="7">
        <v>3453</v>
      </c>
      <c r="E114" s="7" t="s">
        <v>53</v>
      </c>
      <c r="F114" s="7">
        <v>48</v>
      </c>
      <c r="G114" s="7"/>
      <c r="H114" s="9">
        <v>1142</v>
      </c>
      <c r="I114" s="7" t="s">
        <v>56</v>
      </c>
      <c r="J114" s="10"/>
      <c r="K114" s="7"/>
    </row>
    <row r="115" spans="1:11" ht="15.75" customHeight="1" x14ac:dyDescent="0.3">
      <c r="A115" s="7" t="s">
        <v>17</v>
      </c>
      <c r="B115" s="8">
        <v>45989</v>
      </c>
      <c r="C115" s="8" t="s">
        <v>51</v>
      </c>
      <c r="D115" s="7">
        <v>60125</v>
      </c>
      <c r="E115" s="7" t="s">
        <v>26</v>
      </c>
      <c r="F115" s="7">
        <v>4</v>
      </c>
      <c r="G115" s="7"/>
      <c r="H115" s="9">
        <v>178062</v>
      </c>
      <c r="I115" s="7"/>
      <c r="J115" s="10"/>
      <c r="K115" s="7"/>
    </row>
    <row r="116" spans="1:11" ht="15.75" customHeight="1" x14ac:dyDescent="0.3">
      <c r="A116" s="7"/>
      <c r="B116" s="8"/>
      <c r="C116" s="8"/>
      <c r="D116" s="7"/>
      <c r="E116" s="7" t="s">
        <v>35</v>
      </c>
      <c r="F116" s="7">
        <v>4.8</v>
      </c>
      <c r="G116" s="7"/>
      <c r="H116" s="9"/>
      <c r="I116" s="7"/>
      <c r="J116" s="10"/>
      <c r="K116" s="7"/>
    </row>
    <row r="117" spans="1:11" ht="15.75" customHeight="1" x14ac:dyDescent="0.3">
      <c r="A117" s="7"/>
      <c r="B117" s="8"/>
      <c r="C117" s="8"/>
      <c r="D117" s="7"/>
      <c r="E117" s="7" t="s">
        <v>55</v>
      </c>
      <c r="F117" s="7">
        <v>12</v>
      </c>
      <c r="G117" s="7"/>
      <c r="H117" s="9"/>
      <c r="I117" s="7"/>
      <c r="J117" s="10"/>
      <c r="K117" s="7"/>
    </row>
    <row r="118" spans="1:11" ht="15.75" customHeight="1" x14ac:dyDescent="0.3">
      <c r="A118" s="7" t="s">
        <v>17</v>
      </c>
      <c r="B118" s="8">
        <v>45990</v>
      </c>
      <c r="C118" s="8" t="s">
        <v>51</v>
      </c>
      <c r="D118" s="7">
        <v>60130</v>
      </c>
      <c r="E118" s="7" t="s">
        <v>18</v>
      </c>
      <c r="F118" s="7">
        <v>4</v>
      </c>
      <c r="G118" s="7"/>
      <c r="H118" s="9">
        <v>73889</v>
      </c>
      <c r="I118" s="7"/>
      <c r="J118" s="10"/>
      <c r="K118" s="7"/>
    </row>
    <row r="119" spans="1:11" ht="15.75" customHeight="1" x14ac:dyDescent="0.3">
      <c r="A119" s="7" t="s">
        <v>17</v>
      </c>
      <c r="B119" s="8">
        <v>46003</v>
      </c>
      <c r="C119" s="8"/>
      <c r="D119" s="7">
        <v>60542</v>
      </c>
      <c r="E119" s="7" t="s">
        <v>36</v>
      </c>
      <c r="F119" s="7">
        <v>1</v>
      </c>
      <c r="G119" s="7"/>
      <c r="H119" s="9">
        <v>243200</v>
      </c>
      <c r="I119" s="7"/>
      <c r="J119" s="10"/>
      <c r="K119" s="7"/>
    </row>
    <row r="120" spans="1:11" ht="15.75" customHeight="1" x14ac:dyDescent="0.3">
      <c r="A120" s="7"/>
      <c r="B120" s="8"/>
      <c r="C120" s="8"/>
      <c r="D120" s="7"/>
      <c r="E120" s="7" t="s">
        <v>26</v>
      </c>
      <c r="F120" s="7">
        <v>3</v>
      </c>
      <c r="G120" s="7"/>
      <c r="H120" s="9"/>
      <c r="I120" s="7"/>
      <c r="J120" s="10"/>
      <c r="K120" s="7"/>
    </row>
    <row r="121" spans="1:11" ht="15.75" customHeight="1" x14ac:dyDescent="0.3">
      <c r="A121" s="7"/>
      <c r="B121" s="8"/>
      <c r="C121" s="8"/>
      <c r="D121" s="7"/>
      <c r="E121" s="7" t="s">
        <v>34</v>
      </c>
      <c r="F121" s="7">
        <v>1</v>
      </c>
      <c r="G121" s="7"/>
      <c r="H121" s="9"/>
      <c r="I121" s="7"/>
      <c r="J121" s="10"/>
      <c r="K121" s="7"/>
    </row>
    <row r="122" spans="1:11" ht="15.75" customHeight="1" x14ac:dyDescent="0.3">
      <c r="A122" s="7"/>
      <c r="B122" s="8"/>
      <c r="C122" s="8"/>
      <c r="D122" s="7"/>
      <c r="E122" s="7" t="s">
        <v>35</v>
      </c>
      <c r="F122" s="7">
        <v>4.8</v>
      </c>
      <c r="G122" s="7"/>
      <c r="H122" s="9"/>
      <c r="I122" s="7"/>
      <c r="J122" s="10"/>
      <c r="K122" s="7"/>
    </row>
    <row r="123" spans="1:11" ht="15.75" customHeight="1" x14ac:dyDescent="0.3">
      <c r="A123" s="7"/>
      <c r="B123" s="8"/>
      <c r="C123" s="8"/>
      <c r="D123" s="7"/>
      <c r="E123" s="7" t="s">
        <v>47</v>
      </c>
      <c r="F123" s="7">
        <v>96</v>
      </c>
      <c r="G123" s="7"/>
      <c r="H123" s="9"/>
      <c r="I123" s="7"/>
      <c r="J123" s="10"/>
      <c r="K123" s="7"/>
    </row>
    <row r="124" spans="1:11" ht="15.75" customHeight="1" x14ac:dyDescent="0.3">
      <c r="A124" s="7" t="s">
        <v>17</v>
      </c>
      <c r="B124" s="8">
        <v>46003</v>
      </c>
      <c r="C124" s="8"/>
      <c r="D124" s="7">
        <v>60543</v>
      </c>
      <c r="E124" s="7" t="s">
        <v>18</v>
      </c>
      <c r="F124" s="7">
        <v>2</v>
      </c>
      <c r="G124" s="7"/>
      <c r="H124" s="9">
        <v>40186</v>
      </c>
      <c r="I124" s="7"/>
      <c r="J124" s="10"/>
      <c r="K124" s="7"/>
    </row>
    <row r="125" spans="1:11" ht="15.75" customHeight="1" x14ac:dyDescent="0.3">
      <c r="A125" s="7" t="s">
        <v>17</v>
      </c>
      <c r="B125" s="8">
        <v>46003</v>
      </c>
      <c r="C125" s="8"/>
      <c r="D125" s="7">
        <v>60544</v>
      </c>
      <c r="E125" s="7" t="s">
        <v>25</v>
      </c>
      <c r="F125" s="7">
        <v>2</v>
      </c>
      <c r="G125" s="7"/>
      <c r="H125" s="9">
        <v>50332</v>
      </c>
      <c r="I125" s="7"/>
      <c r="J125" s="10"/>
      <c r="K125" s="7"/>
    </row>
    <row r="126" spans="1:11" ht="15.75" customHeight="1" x14ac:dyDescent="0.3">
      <c r="A126" s="7" t="s">
        <v>17</v>
      </c>
      <c r="B126" s="8">
        <v>46003</v>
      </c>
      <c r="C126" s="8"/>
      <c r="D126" s="7">
        <v>60545</v>
      </c>
      <c r="E126" s="7" t="s">
        <v>25</v>
      </c>
      <c r="F126" s="7">
        <v>0</v>
      </c>
      <c r="G126" s="7"/>
      <c r="H126" s="9">
        <v>73951</v>
      </c>
      <c r="I126" s="7"/>
      <c r="J126" s="10"/>
      <c r="K126" s="7"/>
    </row>
    <row r="127" spans="1:11" ht="15.75" customHeight="1" x14ac:dyDescent="0.3">
      <c r="A127" s="7" t="s">
        <v>17</v>
      </c>
      <c r="B127" s="8">
        <v>46008</v>
      </c>
      <c r="C127" s="8"/>
      <c r="D127" s="7">
        <v>60669</v>
      </c>
      <c r="E127" s="7" t="s">
        <v>57</v>
      </c>
      <c r="F127" s="7">
        <v>1</v>
      </c>
      <c r="G127" s="7"/>
      <c r="H127" s="9">
        <v>67109</v>
      </c>
      <c r="I127" s="7" t="s">
        <v>58</v>
      </c>
      <c r="J127" s="10"/>
      <c r="K127" s="7"/>
    </row>
    <row r="128" spans="1:11" ht="15.75" customHeight="1" x14ac:dyDescent="0.3">
      <c r="A128" s="7" t="s">
        <v>17</v>
      </c>
      <c r="B128" s="8">
        <v>46010</v>
      </c>
      <c r="C128" s="8"/>
      <c r="D128" s="7">
        <v>60778</v>
      </c>
      <c r="E128" s="7" t="s">
        <v>26</v>
      </c>
      <c r="F128" s="7">
        <v>3</v>
      </c>
      <c r="G128" s="7"/>
      <c r="H128" s="9">
        <v>213760</v>
      </c>
      <c r="I128" s="7"/>
      <c r="J128" s="10"/>
      <c r="K128" s="7"/>
    </row>
    <row r="129" spans="1:11" ht="15.75" customHeight="1" x14ac:dyDescent="0.3">
      <c r="A129" s="7"/>
      <c r="B129" s="8"/>
      <c r="C129" s="8"/>
      <c r="D129" s="7"/>
      <c r="E129" s="7" t="s">
        <v>31</v>
      </c>
      <c r="F129" s="7">
        <v>2.6659999999999999</v>
      </c>
      <c r="G129" s="7"/>
      <c r="H129" s="9"/>
      <c r="I129" s="7"/>
      <c r="J129" s="10"/>
      <c r="K129" s="7"/>
    </row>
    <row r="130" spans="1:11" ht="15.75" customHeight="1" x14ac:dyDescent="0.3">
      <c r="A130" s="7"/>
      <c r="B130" s="8"/>
      <c r="C130" s="8"/>
      <c r="D130" s="7"/>
      <c r="E130" s="7" t="s">
        <v>36</v>
      </c>
      <c r="F130" s="7">
        <v>1</v>
      </c>
      <c r="G130" s="7"/>
      <c r="H130" s="9"/>
      <c r="I130" s="7"/>
      <c r="J130" s="10"/>
      <c r="K130" s="7"/>
    </row>
    <row r="131" spans="1:11" ht="15.75" customHeight="1" x14ac:dyDescent="0.3">
      <c r="A131" s="7"/>
      <c r="B131" s="8"/>
      <c r="C131" s="8"/>
      <c r="D131" s="7"/>
      <c r="E131" s="7" t="s">
        <v>35</v>
      </c>
      <c r="F131" s="7">
        <v>4.8</v>
      </c>
      <c r="G131" s="7"/>
      <c r="H131" s="9"/>
      <c r="I131" s="7"/>
      <c r="J131" s="10"/>
      <c r="K131" s="7"/>
    </row>
    <row r="132" spans="1:11" ht="15.75" customHeight="1" x14ac:dyDescent="0.3">
      <c r="A132" s="7" t="s">
        <v>17</v>
      </c>
      <c r="B132" s="8">
        <v>46010</v>
      </c>
      <c r="C132" s="8"/>
      <c r="D132" s="7">
        <v>60779</v>
      </c>
      <c r="E132" s="7" t="s">
        <v>24</v>
      </c>
      <c r="F132" s="7">
        <v>15</v>
      </c>
      <c r="G132" s="7"/>
      <c r="H132" s="9">
        <v>378027</v>
      </c>
      <c r="I132" s="7"/>
      <c r="J132" s="10"/>
      <c r="K132" s="7"/>
    </row>
    <row r="133" spans="1:11" ht="15.75" customHeight="1" x14ac:dyDescent="0.3">
      <c r="A133" s="7" t="s">
        <v>17</v>
      </c>
      <c r="B133" s="8">
        <v>46028</v>
      </c>
      <c r="C133" s="8"/>
      <c r="D133" s="7">
        <v>61133</v>
      </c>
      <c r="E133" s="7" t="s">
        <v>24</v>
      </c>
      <c r="F133" s="7">
        <v>10</v>
      </c>
      <c r="G133" s="7"/>
      <c r="H133" s="9">
        <v>236477</v>
      </c>
      <c r="I133" s="7"/>
      <c r="J133" s="10"/>
      <c r="K133" s="7"/>
    </row>
    <row r="134" spans="1:11" ht="15.75" customHeight="1" x14ac:dyDescent="0.3">
      <c r="A134" s="7" t="s">
        <v>17</v>
      </c>
      <c r="B134" s="8">
        <v>46028</v>
      </c>
      <c r="C134" s="8"/>
      <c r="D134" s="7">
        <v>61134</v>
      </c>
      <c r="E134" s="7" t="s">
        <v>24</v>
      </c>
      <c r="F134" s="7">
        <v>0</v>
      </c>
      <c r="G134" s="7"/>
      <c r="H134" s="9">
        <v>39437</v>
      </c>
      <c r="I134" s="7"/>
      <c r="J134" s="10"/>
      <c r="K134" s="7"/>
    </row>
    <row r="135" spans="1:11" ht="15.75" customHeight="1" x14ac:dyDescent="0.3">
      <c r="A135" s="7" t="s">
        <v>17</v>
      </c>
      <c r="B135" s="8">
        <v>46028</v>
      </c>
      <c r="C135" s="8"/>
      <c r="D135" s="7">
        <v>61135</v>
      </c>
      <c r="E135" s="7" t="s">
        <v>25</v>
      </c>
      <c r="F135" s="7">
        <v>10</v>
      </c>
      <c r="G135" s="7"/>
      <c r="H135" s="9">
        <v>247484</v>
      </c>
      <c r="I135" s="7"/>
      <c r="J135" s="10"/>
      <c r="K135" s="7"/>
    </row>
    <row r="136" spans="1:11" ht="15.75" customHeight="1" x14ac:dyDescent="0.3">
      <c r="A136" s="7" t="s">
        <v>17</v>
      </c>
      <c r="B136" s="8">
        <v>46028</v>
      </c>
      <c r="C136" s="8"/>
      <c r="D136" s="7">
        <v>61136</v>
      </c>
      <c r="E136" s="7" t="s">
        <v>25</v>
      </c>
      <c r="F136" s="7">
        <v>0</v>
      </c>
      <c r="G136" s="7"/>
      <c r="H136" s="9">
        <v>280804</v>
      </c>
      <c r="I136" s="7"/>
      <c r="J136" s="10"/>
      <c r="K136" s="7"/>
    </row>
    <row r="137" spans="1:11" ht="15.75" customHeight="1" x14ac:dyDescent="0.3">
      <c r="A137" s="7" t="s">
        <v>17</v>
      </c>
      <c r="B137" s="8">
        <v>46028</v>
      </c>
      <c r="C137" s="8"/>
      <c r="D137" s="7">
        <v>61137</v>
      </c>
      <c r="E137" s="7" t="s">
        <v>26</v>
      </c>
      <c r="F137" s="7">
        <v>5</v>
      </c>
      <c r="G137" s="7"/>
      <c r="H137" s="9">
        <v>116418</v>
      </c>
      <c r="I137" s="7"/>
      <c r="J137" s="10"/>
      <c r="K137" s="7"/>
    </row>
    <row r="138" spans="1:11" ht="15.75" customHeight="1" x14ac:dyDescent="0.3">
      <c r="A138" s="7"/>
      <c r="B138" s="8"/>
      <c r="C138" s="8"/>
      <c r="D138" s="7"/>
      <c r="E138" s="7" t="s">
        <v>35</v>
      </c>
      <c r="F138" s="7">
        <v>2.4</v>
      </c>
      <c r="G138" s="7"/>
      <c r="H138" s="9"/>
      <c r="I138" s="7"/>
      <c r="J138" s="10"/>
      <c r="K138" s="7"/>
    </row>
    <row r="139" spans="1:11" ht="15.75" customHeight="1" x14ac:dyDescent="0.3">
      <c r="A139" s="7"/>
      <c r="B139" s="8"/>
      <c r="C139" s="8"/>
      <c r="D139" s="7"/>
      <c r="E139" s="7"/>
      <c r="F139" s="7"/>
      <c r="G139" s="7"/>
      <c r="H139" s="9"/>
      <c r="I139" s="7"/>
      <c r="J139" s="10"/>
      <c r="K139" s="7"/>
    </row>
    <row r="140" spans="1:11" ht="15.75" customHeight="1" x14ac:dyDescent="0.3">
      <c r="A140" s="7"/>
      <c r="B140" s="8"/>
      <c r="C140" s="8"/>
      <c r="D140" s="7"/>
      <c r="E140" s="7"/>
      <c r="F140" s="7"/>
      <c r="G140" s="7"/>
      <c r="H140" s="9"/>
      <c r="I140" s="7"/>
      <c r="J140" s="10"/>
      <c r="K140" s="7"/>
    </row>
    <row r="141" spans="1:11" ht="15.75" customHeight="1" x14ac:dyDescent="0.3">
      <c r="A141" s="7"/>
      <c r="B141" s="8"/>
      <c r="C141" s="8"/>
      <c r="D141" s="7"/>
      <c r="E141" s="7"/>
      <c r="F141" s="7"/>
      <c r="G141" s="7"/>
      <c r="H141" s="9"/>
      <c r="I141" s="7"/>
      <c r="J141" s="10"/>
      <c r="K141" s="7"/>
    </row>
    <row r="142" spans="1:11" ht="15.75" customHeight="1" x14ac:dyDescent="0.3">
      <c r="A142" s="7"/>
      <c r="B142" s="8"/>
      <c r="C142" s="8"/>
      <c r="D142" s="7"/>
      <c r="E142" s="7"/>
      <c r="F142" s="7"/>
      <c r="G142" s="7"/>
      <c r="H142" s="9"/>
      <c r="I142" s="7"/>
      <c r="J142" s="10"/>
      <c r="K142" s="7"/>
    </row>
    <row r="143" spans="1:11" ht="15.75" customHeight="1" x14ac:dyDescent="0.3">
      <c r="A143" s="7"/>
      <c r="B143" s="8"/>
      <c r="C143" s="8"/>
      <c r="D143" s="7"/>
      <c r="E143" s="7"/>
      <c r="F143" s="7"/>
      <c r="G143" s="7"/>
      <c r="H143" s="9"/>
      <c r="I143" s="7"/>
      <c r="J143" s="10"/>
      <c r="K143" s="7"/>
    </row>
    <row r="144" spans="1:11" ht="15.75" customHeight="1" x14ac:dyDescent="0.3">
      <c r="A144" s="7"/>
      <c r="B144" s="8"/>
      <c r="C144" s="8"/>
      <c r="D144" s="7"/>
      <c r="E144" s="7"/>
      <c r="F144" s="7"/>
      <c r="G144" s="7"/>
      <c r="H144" s="9"/>
      <c r="I144" s="7"/>
      <c r="J144" s="10"/>
      <c r="K144" s="7"/>
    </row>
    <row r="145" spans="1:11" ht="15.75" customHeight="1" x14ac:dyDescent="0.3">
      <c r="A145" s="7"/>
      <c r="B145" s="8"/>
      <c r="C145" s="8"/>
      <c r="D145" s="7"/>
      <c r="E145" s="7"/>
      <c r="F145" s="7"/>
      <c r="G145" s="7"/>
      <c r="H145" s="9"/>
      <c r="I145" s="7"/>
      <c r="J145" s="10"/>
      <c r="K145" s="7"/>
    </row>
    <row r="146" spans="1:11" ht="15.75" customHeight="1" x14ac:dyDescent="0.3">
      <c r="A146" s="7"/>
      <c r="B146" s="8"/>
      <c r="C146" s="8"/>
      <c r="D146" s="7"/>
      <c r="E146" s="7"/>
      <c r="F146" s="7"/>
      <c r="G146" s="7"/>
      <c r="H146" s="9"/>
      <c r="I146" s="7"/>
      <c r="J146" s="10"/>
      <c r="K146" s="7"/>
    </row>
    <row r="147" spans="1:11" ht="15.75" customHeight="1" x14ac:dyDescent="0.3">
      <c r="A147" s="7"/>
      <c r="B147" s="8"/>
      <c r="C147" s="8"/>
      <c r="D147" s="7"/>
      <c r="E147" s="7"/>
      <c r="F147" s="7"/>
      <c r="G147" s="7"/>
      <c r="H147" s="9"/>
      <c r="I147" s="7"/>
      <c r="J147" s="10"/>
      <c r="K147" s="7"/>
    </row>
    <row r="148" spans="1:11" ht="15.75" customHeight="1" x14ac:dyDescent="0.3">
      <c r="A148" s="7"/>
      <c r="B148" s="8"/>
      <c r="C148" s="8"/>
      <c r="D148" s="7"/>
      <c r="E148" s="7"/>
      <c r="F148" s="7"/>
      <c r="G148" s="7"/>
      <c r="H148" s="9"/>
      <c r="I148" s="7"/>
      <c r="J148" s="10"/>
      <c r="K148" s="7"/>
    </row>
    <row r="149" spans="1:11" ht="15.75" customHeight="1" x14ac:dyDescent="0.3">
      <c r="A149" s="7"/>
      <c r="B149" s="8"/>
      <c r="C149" s="8"/>
      <c r="D149" s="7"/>
      <c r="E149" s="7"/>
      <c r="F149" s="7"/>
      <c r="G149" s="7"/>
      <c r="H149" s="9"/>
      <c r="I149" s="7"/>
      <c r="J149" s="10"/>
      <c r="K149" s="7"/>
    </row>
    <row r="150" spans="1:11" ht="15.75" customHeight="1" x14ac:dyDescent="0.3">
      <c r="H150" s="11"/>
      <c r="J150" s="13"/>
    </row>
    <row r="151" spans="1:11" ht="15.75" customHeight="1" x14ac:dyDescent="0.3">
      <c r="H151" s="11"/>
      <c r="J151" s="13"/>
    </row>
    <row r="152" spans="1:11" ht="15.75" customHeight="1" x14ac:dyDescent="0.3">
      <c r="H152" s="11"/>
      <c r="J152" s="13"/>
    </row>
    <row r="153" spans="1:11" ht="15.75" customHeight="1" x14ac:dyDescent="0.3">
      <c r="H153" s="11"/>
      <c r="J153" s="13"/>
    </row>
    <row r="154" spans="1:11" ht="15.75" customHeight="1" x14ac:dyDescent="0.3">
      <c r="H154" s="11"/>
      <c r="J154" s="13"/>
    </row>
    <row r="155" spans="1:11" ht="15.75" customHeight="1" x14ac:dyDescent="0.3">
      <c r="H155" s="11"/>
      <c r="J155" s="13"/>
    </row>
    <row r="156" spans="1:11" ht="15.75" customHeight="1" x14ac:dyDescent="0.3">
      <c r="H156" s="11"/>
      <c r="J156" s="13"/>
    </row>
    <row r="157" spans="1:11" ht="15.75" customHeight="1" x14ac:dyDescent="0.3">
      <c r="H157" s="11"/>
      <c r="J157" s="13"/>
    </row>
    <row r="158" spans="1:11" ht="15.75" customHeight="1" x14ac:dyDescent="0.3">
      <c r="H158" s="11"/>
      <c r="J158" s="13"/>
    </row>
    <row r="159" spans="1:11" ht="15.75" customHeight="1" x14ac:dyDescent="0.3">
      <c r="H159" s="11"/>
      <c r="J159" s="13"/>
    </row>
    <row r="160" spans="1:11" ht="15.75" customHeight="1" x14ac:dyDescent="0.3">
      <c r="H160" s="11"/>
      <c r="J160" s="13"/>
    </row>
    <row r="161" spans="8:10" ht="15.75" customHeight="1" x14ac:dyDescent="0.3">
      <c r="H161" s="11"/>
      <c r="J161" s="13"/>
    </row>
    <row r="162" spans="8:10" ht="15.75" customHeight="1" x14ac:dyDescent="0.3">
      <c r="H162" s="11"/>
      <c r="J162" s="13"/>
    </row>
    <row r="163" spans="8:10" ht="15.75" customHeight="1" x14ac:dyDescent="0.3">
      <c r="H163" s="11"/>
      <c r="J163" s="13"/>
    </row>
    <row r="164" spans="8:10" ht="15.75" customHeight="1" x14ac:dyDescent="0.3">
      <c r="H164" s="11"/>
      <c r="J164" s="13"/>
    </row>
    <row r="165" spans="8:10" ht="15.75" customHeight="1" x14ac:dyDescent="0.3">
      <c r="H165" s="11"/>
      <c r="J165" s="13"/>
    </row>
    <row r="166" spans="8:10" ht="15.75" customHeight="1" x14ac:dyDescent="0.3">
      <c r="H166" s="11"/>
      <c r="J166" s="13"/>
    </row>
    <row r="167" spans="8:10" ht="15.75" customHeight="1" x14ac:dyDescent="0.3">
      <c r="H167" s="11"/>
      <c r="J167" s="13"/>
    </row>
    <row r="168" spans="8:10" ht="15.75" customHeight="1" x14ac:dyDescent="0.3">
      <c r="H168" s="11"/>
      <c r="J168" s="13"/>
    </row>
    <row r="169" spans="8:10" ht="15.75" customHeight="1" x14ac:dyDescent="0.3">
      <c r="H169" s="11"/>
      <c r="J169" s="13"/>
    </row>
    <row r="170" spans="8:10" ht="15.75" customHeight="1" x14ac:dyDescent="0.3">
      <c r="H170" s="11"/>
      <c r="J170" s="13"/>
    </row>
    <row r="171" spans="8:10" ht="15.75" customHeight="1" x14ac:dyDescent="0.3">
      <c r="H171" s="11"/>
      <c r="J171" s="13"/>
    </row>
    <row r="172" spans="8:10" ht="15.75" customHeight="1" x14ac:dyDescent="0.3">
      <c r="H172" s="11"/>
      <c r="J172" s="13"/>
    </row>
    <row r="173" spans="8:10" ht="15.75" customHeight="1" x14ac:dyDescent="0.3">
      <c r="H173" s="11"/>
      <c r="J173" s="13"/>
    </row>
    <row r="174" spans="8:10" ht="15.75" customHeight="1" x14ac:dyDescent="0.3">
      <c r="H174" s="11"/>
      <c r="J174" s="13"/>
    </row>
    <row r="175" spans="8:10" ht="15.75" customHeight="1" x14ac:dyDescent="0.3">
      <c r="H175" s="11"/>
      <c r="J175" s="13"/>
    </row>
    <row r="176" spans="8:10" ht="15.75" customHeight="1" x14ac:dyDescent="0.3">
      <c r="H176" s="11"/>
      <c r="J176" s="13"/>
    </row>
    <row r="177" spans="8:10" ht="15.75" customHeight="1" x14ac:dyDescent="0.3">
      <c r="H177" s="11"/>
      <c r="J177" s="13"/>
    </row>
    <row r="178" spans="8:10" ht="15.75" customHeight="1" x14ac:dyDescent="0.3">
      <c r="H178" s="11"/>
      <c r="J178" s="13"/>
    </row>
    <row r="179" spans="8:10" ht="15.75" customHeight="1" x14ac:dyDescent="0.3">
      <c r="H179" s="11"/>
      <c r="J179" s="13"/>
    </row>
    <row r="180" spans="8:10" ht="15.75" customHeight="1" x14ac:dyDescent="0.3">
      <c r="H180" s="11"/>
      <c r="J180" s="13"/>
    </row>
    <row r="181" spans="8:10" ht="15.75" customHeight="1" x14ac:dyDescent="0.3">
      <c r="H181" s="11"/>
      <c r="J181" s="13"/>
    </row>
    <row r="182" spans="8:10" ht="15.75" customHeight="1" x14ac:dyDescent="0.3">
      <c r="H182" s="11"/>
      <c r="J182" s="13"/>
    </row>
    <row r="183" spans="8:10" ht="15.75" customHeight="1" x14ac:dyDescent="0.3">
      <c r="H183" s="11"/>
      <c r="J183" s="13"/>
    </row>
    <row r="184" spans="8:10" ht="15.75" customHeight="1" x14ac:dyDescent="0.3">
      <c r="H184" s="11"/>
      <c r="J184" s="13"/>
    </row>
    <row r="185" spans="8:10" ht="15.75" customHeight="1" x14ac:dyDescent="0.3">
      <c r="H185" s="11"/>
      <c r="J185" s="13"/>
    </row>
    <row r="186" spans="8:10" ht="15.75" customHeight="1" x14ac:dyDescent="0.3">
      <c r="H186" s="11"/>
      <c r="J186" s="13"/>
    </row>
    <row r="187" spans="8:10" ht="15.75" customHeight="1" x14ac:dyDescent="0.3">
      <c r="H187" s="11"/>
      <c r="J187" s="13"/>
    </row>
    <row r="188" spans="8:10" ht="15.75" customHeight="1" x14ac:dyDescent="0.3">
      <c r="H188" s="11"/>
      <c r="J188" s="13"/>
    </row>
    <row r="189" spans="8:10" ht="15.75" customHeight="1" x14ac:dyDescent="0.3">
      <c r="H189" s="11"/>
      <c r="J189" s="13"/>
    </row>
    <row r="190" spans="8:10" ht="15.75" customHeight="1" x14ac:dyDescent="0.3">
      <c r="H190" s="11"/>
      <c r="J190" s="13"/>
    </row>
    <row r="191" spans="8:10" ht="15.75" customHeight="1" x14ac:dyDescent="0.3">
      <c r="H191" s="11"/>
      <c r="J191" s="13"/>
    </row>
    <row r="192" spans="8:10" ht="15.75" customHeight="1" x14ac:dyDescent="0.3">
      <c r="H192" s="11"/>
      <c r="J192" s="13"/>
    </row>
    <row r="193" spans="8:10" ht="15.75" customHeight="1" x14ac:dyDescent="0.3">
      <c r="H193" s="11"/>
      <c r="J193" s="13"/>
    </row>
    <row r="194" spans="8:10" ht="15.75" customHeight="1" x14ac:dyDescent="0.3">
      <c r="H194" s="11"/>
      <c r="J194" s="13"/>
    </row>
    <row r="195" spans="8:10" ht="15.75" customHeight="1" x14ac:dyDescent="0.3">
      <c r="H195" s="11"/>
      <c r="J195" s="13"/>
    </row>
    <row r="196" spans="8:10" ht="15.75" customHeight="1" x14ac:dyDescent="0.3">
      <c r="H196" s="11"/>
      <c r="J196" s="13"/>
    </row>
    <row r="197" spans="8:10" ht="15.75" customHeight="1" x14ac:dyDescent="0.3">
      <c r="H197" s="11"/>
      <c r="J197" s="13"/>
    </row>
    <row r="198" spans="8:10" ht="15.75" customHeight="1" x14ac:dyDescent="0.3">
      <c r="H198" s="11"/>
      <c r="J198" s="13"/>
    </row>
    <row r="199" spans="8:10" ht="15.75" customHeight="1" x14ac:dyDescent="0.3">
      <c r="H199" s="11"/>
      <c r="J199" s="13"/>
    </row>
    <row r="200" spans="8:10" ht="15.75" customHeight="1" x14ac:dyDescent="0.3">
      <c r="H200" s="11"/>
      <c r="J200" s="13"/>
    </row>
    <row r="201" spans="8:10" ht="15.75" customHeight="1" x14ac:dyDescent="0.3">
      <c r="H201" s="11"/>
      <c r="J201" s="13"/>
    </row>
    <row r="202" spans="8:10" ht="15.75" customHeight="1" x14ac:dyDescent="0.3">
      <c r="H202" s="11"/>
      <c r="J202" s="13"/>
    </row>
    <row r="203" spans="8:10" ht="15.75" customHeight="1" x14ac:dyDescent="0.3">
      <c r="H203" s="11"/>
      <c r="J203" s="13"/>
    </row>
    <row r="204" spans="8:10" ht="15.75" customHeight="1" x14ac:dyDescent="0.3">
      <c r="H204" s="11"/>
      <c r="J204" s="13"/>
    </row>
    <row r="205" spans="8:10" ht="15.75" customHeight="1" x14ac:dyDescent="0.3">
      <c r="H205" s="11"/>
      <c r="J205" s="13"/>
    </row>
    <row r="206" spans="8:10" ht="15.75" customHeight="1" x14ac:dyDescent="0.3">
      <c r="H206" s="11"/>
      <c r="J206" s="13"/>
    </row>
    <row r="207" spans="8:10" ht="15.75" customHeight="1" x14ac:dyDescent="0.3">
      <c r="H207" s="11"/>
      <c r="J207" s="13"/>
    </row>
    <row r="208" spans="8:10" ht="15.75" customHeight="1" x14ac:dyDescent="0.3">
      <c r="H208" s="11"/>
      <c r="J208" s="13"/>
    </row>
    <row r="209" spans="8:10" ht="15.75" customHeight="1" x14ac:dyDescent="0.3">
      <c r="H209" s="11"/>
      <c r="J209" s="13"/>
    </row>
    <row r="210" spans="8:10" ht="15.75" customHeight="1" x14ac:dyDescent="0.3">
      <c r="H210" s="11"/>
      <c r="J210" s="13"/>
    </row>
    <row r="211" spans="8:10" ht="15.75" customHeight="1" x14ac:dyDescent="0.3">
      <c r="H211" s="11"/>
      <c r="J211" s="13"/>
    </row>
    <row r="212" spans="8:10" ht="15.75" customHeight="1" x14ac:dyDescent="0.3">
      <c r="H212" s="11"/>
      <c r="J212" s="13"/>
    </row>
    <row r="213" spans="8:10" ht="15.75" customHeight="1" x14ac:dyDescent="0.3">
      <c r="H213" s="11"/>
      <c r="J213" s="13"/>
    </row>
    <row r="214" spans="8:10" ht="15.75" customHeight="1" x14ac:dyDescent="0.3">
      <c r="H214" s="11"/>
      <c r="J214" s="13"/>
    </row>
    <row r="215" spans="8:10" ht="15.75" customHeight="1" x14ac:dyDescent="0.3">
      <c r="H215" s="11"/>
      <c r="J215" s="13"/>
    </row>
    <row r="216" spans="8:10" ht="15.75" customHeight="1" x14ac:dyDescent="0.3">
      <c r="H216" s="11"/>
      <c r="J216" s="13"/>
    </row>
    <row r="217" spans="8:10" ht="15.75" customHeight="1" x14ac:dyDescent="0.3">
      <c r="H217" s="11"/>
      <c r="J217" s="13"/>
    </row>
    <row r="218" spans="8:10" ht="15.75" customHeight="1" x14ac:dyDescent="0.3">
      <c r="H218" s="11"/>
      <c r="J218" s="13"/>
    </row>
    <row r="219" spans="8:10" ht="15.75" customHeight="1" x14ac:dyDescent="0.3">
      <c r="H219" s="11"/>
      <c r="J219" s="13"/>
    </row>
    <row r="220" spans="8:10" ht="15.75" customHeight="1" x14ac:dyDescent="0.3">
      <c r="H220" s="11"/>
      <c r="J220" s="13"/>
    </row>
    <row r="221" spans="8:10" ht="15.75" customHeight="1" x14ac:dyDescent="0.3">
      <c r="H221" s="11"/>
      <c r="J221" s="13"/>
    </row>
    <row r="222" spans="8:10" ht="15.75" customHeight="1" x14ac:dyDescent="0.3">
      <c r="H222" s="11"/>
      <c r="J222" s="13"/>
    </row>
    <row r="223" spans="8:10" ht="15.75" customHeight="1" x14ac:dyDescent="0.3">
      <c r="H223" s="11"/>
      <c r="J223" s="13"/>
    </row>
    <row r="224" spans="8:10" ht="15.75" customHeight="1" x14ac:dyDescent="0.3">
      <c r="H224" s="11"/>
      <c r="J224" s="13"/>
    </row>
    <row r="225" spans="8:10" ht="15.75" customHeight="1" x14ac:dyDescent="0.3">
      <c r="H225" s="11"/>
      <c r="J225" s="13"/>
    </row>
    <row r="226" spans="8:10" ht="15.75" customHeight="1" x14ac:dyDescent="0.3">
      <c r="H226" s="11"/>
      <c r="J226" s="13"/>
    </row>
    <row r="227" spans="8:10" ht="15.75" customHeight="1" x14ac:dyDescent="0.3">
      <c r="H227" s="11"/>
      <c r="J227" s="13"/>
    </row>
    <row r="228" spans="8:10" ht="15.75" customHeight="1" x14ac:dyDescent="0.3">
      <c r="H228" s="11"/>
      <c r="J228" s="13"/>
    </row>
    <row r="229" spans="8:10" ht="15.75" customHeight="1" x14ac:dyDescent="0.3">
      <c r="H229" s="11"/>
      <c r="J229" s="13"/>
    </row>
    <row r="230" spans="8:10" ht="15.75" customHeight="1" x14ac:dyDescent="0.3">
      <c r="H230" s="11"/>
      <c r="J230" s="13"/>
    </row>
    <row r="231" spans="8:10" ht="15.75" customHeight="1" x14ac:dyDescent="0.3">
      <c r="H231" s="11"/>
      <c r="J231" s="13"/>
    </row>
    <row r="232" spans="8:10" ht="15.75" customHeight="1" x14ac:dyDescent="0.3">
      <c r="H232" s="11"/>
      <c r="J232" s="13"/>
    </row>
    <row r="233" spans="8:10" ht="15.75" customHeight="1" x14ac:dyDescent="0.3">
      <c r="H233" s="11"/>
      <c r="J233" s="13"/>
    </row>
    <row r="234" spans="8:10" ht="15.75" customHeight="1" x14ac:dyDescent="0.3">
      <c r="H234" s="11"/>
      <c r="J234" s="13"/>
    </row>
    <row r="235" spans="8:10" ht="15.75" customHeight="1" x14ac:dyDescent="0.3">
      <c r="H235" s="11"/>
      <c r="J235" s="13"/>
    </row>
    <row r="236" spans="8:10" ht="15.75" customHeight="1" x14ac:dyDescent="0.3">
      <c r="H236" s="11"/>
      <c r="J236" s="13"/>
    </row>
    <row r="237" spans="8:10" ht="15.75" customHeight="1" x14ac:dyDescent="0.3">
      <c r="H237" s="11"/>
      <c r="J237" s="13"/>
    </row>
    <row r="238" spans="8:10" ht="15.75" customHeight="1" x14ac:dyDescent="0.3">
      <c r="H238" s="11"/>
      <c r="J238" s="13"/>
    </row>
    <row r="239" spans="8:10" ht="15.75" customHeight="1" x14ac:dyDescent="0.3">
      <c r="H239" s="11"/>
      <c r="J239" s="13"/>
    </row>
    <row r="240" spans="8:10" ht="15.75" customHeight="1" x14ac:dyDescent="0.3">
      <c r="H240" s="11"/>
      <c r="J240" s="13"/>
    </row>
    <row r="241" spans="8:10" ht="15.75" customHeight="1" x14ac:dyDescent="0.3">
      <c r="H241" s="11"/>
      <c r="J241" s="13"/>
    </row>
    <row r="242" spans="8:10" ht="15.75" customHeight="1" x14ac:dyDescent="0.3">
      <c r="H242" s="11"/>
      <c r="J242" s="13"/>
    </row>
    <row r="243" spans="8:10" ht="15.75" customHeight="1" x14ac:dyDescent="0.3">
      <c r="H243" s="11"/>
      <c r="J243" s="13"/>
    </row>
    <row r="244" spans="8:10" ht="15.75" customHeight="1" x14ac:dyDescent="0.3">
      <c r="H244" s="11"/>
      <c r="J244" s="13"/>
    </row>
    <row r="245" spans="8:10" ht="15.75" customHeight="1" x14ac:dyDescent="0.3">
      <c r="H245" s="11"/>
      <c r="J245" s="13"/>
    </row>
    <row r="246" spans="8:10" ht="15.75" customHeight="1" x14ac:dyDescent="0.3">
      <c r="H246" s="11"/>
      <c r="J246" s="13"/>
    </row>
    <row r="247" spans="8:10" ht="15.75" customHeight="1" x14ac:dyDescent="0.3">
      <c r="H247" s="11"/>
      <c r="J247" s="13"/>
    </row>
    <row r="248" spans="8:10" ht="15.75" customHeight="1" x14ac:dyDescent="0.3">
      <c r="H248" s="11"/>
      <c r="J248" s="13"/>
    </row>
    <row r="249" spans="8:10" ht="15.75" customHeight="1" x14ac:dyDescent="0.3">
      <c r="H249" s="11"/>
      <c r="J249" s="13"/>
    </row>
    <row r="250" spans="8:10" ht="15.75" customHeight="1" x14ac:dyDescent="0.3">
      <c r="H250" s="11"/>
      <c r="J250" s="13"/>
    </row>
    <row r="251" spans="8:10" ht="15.75" customHeight="1" x14ac:dyDescent="0.3">
      <c r="H251" s="11"/>
      <c r="J251" s="13"/>
    </row>
    <row r="252" spans="8:10" ht="15.75" customHeight="1" x14ac:dyDescent="0.3">
      <c r="H252" s="11"/>
      <c r="J252" s="13"/>
    </row>
    <row r="253" spans="8:10" ht="15.75" customHeight="1" x14ac:dyDescent="0.3">
      <c r="H253" s="11"/>
      <c r="J253" s="13"/>
    </row>
    <row r="254" spans="8:10" ht="15.75" customHeight="1" x14ac:dyDescent="0.3">
      <c r="H254" s="11"/>
      <c r="J254" s="13"/>
    </row>
    <row r="255" spans="8:10" ht="15.75" customHeight="1" x14ac:dyDescent="0.3">
      <c r="H255" s="11"/>
      <c r="J255" s="13"/>
    </row>
    <row r="256" spans="8:10" ht="15.75" customHeight="1" x14ac:dyDescent="0.3">
      <c r="H256" s="11"/>
      <c r="J256" s="13"/>
    </row>
    <row r="257" spans="8:10" ht="15.75" customHeight="1" x14ac:dyDescent="0.3">
      <c r="H257" s="11"/>
      <c r="J257" s="13"/>
    </row>
    <row r="258" spans="8:10" ht="15.75" customHeight="1" x14ac:dyDescent="0.3">
      <c r="H258" s="11"/>
      <c r="J258" s="13"/>
    </row>
    <row r="259" spans="8:10" ht="15.75" customHeight="1" x14ac:dyDescent="0.3">
      <c r="H259" s="11"/>
      <c r="J259" s="13"/>
    </row>
    <row r="260" spans="8:10" ht="15.75" customHeight="1" x14ac:dyDescent="0.3">
      <c r="H260" s="11"/>
      <c r="J260" s="13"/>
    </row>
    <row r="261" spans="8:10" ht="15.75" customHeight="1" x14ac:dyDescent="0.3">
      <c r="H261" s="11"/>
      <c r="J261" s="13"/>
    </row>
    <row r="262" spans="8:10" ht="15.75" customHeight="1" x14ac:dyDescent="0.3">
      <c r="H262" s="11"/>
      <c r="J262" s="13"/>
    </row>
    <row r="263" spans="8:10" ht="15.75" customHeight="1" x14ac:dyDescent="0.3">
      <c r="H263" s="11"/>
      <c r="J263" s="13"/>
    </row>
    <row r="264" spans="8:10" ht="15.75" customHeight="1" x14ac:dyDescent="0.3">
      <c r="H264" s="11"/>
      <c r="J264" s="13"/>
    </row>
    <row r="265" spans="8:10" ht="15.75" customHeight="1" x14ac:dyDescent="0.3">
      <c r="H265" s="11"/>
      <c r="J265" s="13"/>
    </row>
    <row r="266" spans="8:10" ht="15.75" customHeight="1" x14ac:dyDescent="0.3">
      <c r="H266" s="11"/>
      <c r="J266" s="13"/>
    </row>
    <row r="267" spans="8:10" ht="15.75" customHeight="1" x14ac:dyDescent="0.3">
      <c r="H267" s="11"/>
      <c r="J267" s="13"/>
    </row>
    <row r="268" spans="8:10" ht="15.75" customHeight="1" x14ac:dyDescent="0.3">
      <c r="H268" s="11"/>
      <c r="J268" s="13"/>
    </row>
    <row r="269" spans="8:10" ht="15.75" customHeight="1" x14ac:dyDescent="0.3">
      <c r="H269" s="11"/>
      <c r="J269" s="13"/>
    </row>
    <row r="270" spans="8:10" ht="15.75" customHeight="1" x14ac:dyDescent="0.3">
      <c r="H270" s="11"/>
      <c r="J270" s="13"/>
    </row>
    <row r="271" spans="8:10" ht="15.75" customHeight="1" x14ac:dyDescent="0.3">
      <c r="H271" s="11"/>
      <c r="J271" s="13"/>
    </row>
    <row r="272" spans="8:10" ht="15.75" customHeight="1" x14ac:dyDescent="0.3">
      <c r="H272" s="11"/>
      <c r="J272" s="13"/>
    </row>
    <row r="273" spans="8:10" ht="15.75" customHeight="1" x14ac:dyDescent="0.3">
      <c r="H273" s="11"/>
      <c r="J273" s="13"/>
    </row>
    <row r="274" spans="8:10" ht="15.75" customHeight="1" x14ac:dyDescent="0.3">
      <c r="H274" s="11"/>
      <c r="J274" s="13"/>
    </row>
    <row r="275" spans="8:10" ht="15.75" customHeight="1" x14ac:dyDescent="0.3">
      <c r="H275" s="11"/>
      <c r="J275" s="13"/>
    </row>
    <row r="276" spans="8:10" ht="15.75" customHeight="1" x14ac:dyDescent="0.3">
      <c r="H276" s="11"/>
      <c r="J276" s="13"/>
    </row>
    <row r="277" spans="8:10" ht="15.75" customHeight="1" x14ac:dyDescent="0.3">
      <c r="H277" s="11"/>
      <c r="J277" s="13"/>
    </row>
    <row r="278" spans="8:10" ht="15.75" customHeight="1" x14ac:dyDescent="0.3">
      <c r="H278" s="11"/>
      <c r="J278" s="13"/>
    </row>
    <row r="279" spans="8:10" ht="15.75" customHeight="1" x14ac:dyDescent="0.3">
      <c r="H279" s="11"/>
      <c r="J279" s="13"/>
    </row>
    <row r="280" spans="8:10" ht="15.75" customHeight="1" x14ac:dyDescent="0.3">
      <c r="H280" s="11"/>
      <c r="J280" s="13"/>
    </row>
    <row r="281" spans="8:10" ht="15.75" customHeight="1" x14ac:dyDescent="0.3">
      <c r="H281" s="11"/>
      <c r="J281" s="13"/>
    </row>
    <row r="282" spans="8:10" ht="15.75" customHeight="1" x14ac:dyDescent="0.3">
      <c r="H282" s="11"/>
      <c r="J282" s="13"/>
    </row>
    <row r="283" spans="8:10" ht="15.75" customHeight="1" x14ac:dyDescent="0.3">
      <c r="H283" s="11"/>
      <c r="J283" s="13"/>
    </row>
    <row r="284" spans="8:10" ht="15.75" customHeight="1" x14ac:dyDescent="0.3">
      <c r="H284" s="11"/>
      <c r="J284" s="13"/>
    </row>
    <row r="285" spans="8:10" ht="15.75" customHeight="1" x14ac:dyDescent="0.3">
      <c r="H285" s="11"/>
      <c r="J285" s="13"/>
    </row>
    <row r="286" spans="8:10" ht="15.75" customHeight="1" x14ac:dyDescent="0.3">
      <c r="H286" s="11"/>
      <c r="J286" s="13"/>
    </row>
    <row r="287" spans="8:10" ht="15.75" customHeight="1" x14ac:dyDescent="0.3">
      <c r="H287" s="11"/>
      <c r="J287" s="13"/>
    </row>
    <row r="288" spans="8:10" ht="15.75" customHeight="1" x14ac:dyDescent="0.3">
      <c r="H288" s="11"/>
      <c r="J288" s="13"/>
    </row>
    <row r="289" spans="8:10" ht="15.75" customHeight="1" x14ac:dyDescent="0.3">
      <c r="H289" s="11"/>
      <c r="J289" s="13"/>
    </row>
    <row r="290" spans="8:10" ht="15.75" customHeight="1" x14ac:dyDescent="0.3">
      <c r="H290" s="11"/>
      <c r="J290" s="13"/>
    </row>
    <row r="291" spans="8:10" ht="15.75" customHeight="1" x14ac:dyDescent="0.3">
      <c r="H291" s="11"/>
      <c r="J291" s="13"/>
    </row>
    <row r="292" spans="8:10" ht="15.75" customHeight="1" x14ac:dyDescent="0.3">
      <c r="H292" s="11"/>
      <c r="J292" s="13"/>
    </row>
    <row r="293" spans="8:10" ht="15.75" customHeight="1" x14ac:dyDescent="0.3">
      <c r="H293" s="11"/>
      <c r="J293" s="13"/>
    </row>
    <row r="294" spans="8:10" ht="15.75" customHeight="1" x14ac:dyDescent="0.3">
      <c r="H294" s="11"/>
      <c r="J294" s="13"/>
    </row>
    <row r="295" spans="8:10" ht="15.75" customHeight="1" x14ac:dyDescent="0.3">
      <c r="H295" s="11"/>
      <c r="J295" s="13"/>
    </row>
    <row r="296" spans="8:10" ht="15.75" customHeight="1" x14ac:dyDescent="0.3">
      <c r="H296" s="11"/>
      <c r="J296" s="13"/>
    </row>
    <row r="297" spans="8:10" ht="15.75" customHeight="1" x14ac:dyDescent="0.3">
      <c r="H297" s="11"/>
      <c r="J297" s="13"/>
    </row>
    <row r="298" spans="8:10" ht="15.75" customHeight="1" x14ac:dyDescent="0.3">
      <c r="H298" s="11"/>
      <c r="J298" s="13"/>
    </row>
    <row r="299" spans="8:10" ht="15.75" customHeight="1" x14ac:dyDescent="0.3">
      <c r="H299" s="11"/>
      <c r="J299" s="13"/>
    </row>
    <row r="300" spans="8:10" ht="15.75" customHeight="1" x14ac:dyDescent="0.3">
      <c r="H300" s="11"/>
      <c r="J300" s="13"/>
    </row>
    <row r="301" spans="8:10" ht="15.75" customHeight="1" x14ac:dyDescent="0.3">
      <c r="H301" s="11"/>
      <c r="J301" s="13"/>
    </row>
    <row r="302" spans="8:10" ht="15.75" customHeight="1" x14ac:dyDescent="0.3">
      <c r="H302" s="11"/>
      <c r="J302" s="13"/>
    </row>
    <row r="303" spans="8:10" ht="15.75" customHeight="1" x14ac:dyDescent="0.3">
      <c r="H303" s="11"/>
      <c r="J303" s="13"/>
    </row>
    <row r="304" spans="8:10" ht="15.75" customHeight="1" x14ac:dyDescent="0.3">
      <c r="H304" s="11"/>
      <c r="J304" s="13"/>
    </row>
    <row r="305" spans="8:10" ht="15.75" customHeight="1" x14ac:dyDescent="0.3">
      <c r="H305" s="11"/>
      <c r="J305" s="13"/>
    </row>
    <row r="306" spans="8:10" ht="15.75" customHeight="1" x14ac:dyDescent="0.3">
      <c r="H306" s="11"/>
      <c r="J306" s="13"/>
    </row>
    <row r="307" spans="8:10" ht="15.75" customHeight="1" x14ac:dyDescent="0.3">
      <c r="H307" s="11"/>
      <c r="J307" s="13"/>
    </row>
    <row r="308" spans="8:10" ht="15.75" customHeight="1" x14ac:dyDescent="0.3">
      <c r="H308" s="11"/>
      <c r="J308" s="13"/>
    </row>
    <row r="309" spans="8:10" ht="15.75" customHeight="1" x14ac:dyDescent="0.3">
      <c r="H309" s="11"/>
      <c r="J309" s="13"/>
    </row>
    <row r="310" spans="8:10" ht="15.75" customHeight="1" x14ac:dyDescent="0.3">
      <c r="H310" s="11"/>
      <c r="J310" s="13"/>
    </row>
    <row r="311" spans="8:10" ht="15.75" customHeight="1" x14ac:dyDescent="0.3">
      <c r="H311" s="11"/>
      <c r="J311" s="13"/>
    </row>
    <row r="312" spans="8:10" ht="15.75" customHeight="1" x14ac:dyDescent="0.3">
      <c r="H312" s="11"/>
      <c r="J312" s="13"/>
    </row>
    <row r="313" spans="8:10" ht="15.75" customHeight="1" x14ac:dyDescent="0.3">
      <c r="H313" s="11"/>
      <c r="J313" s="13"/>
    </row>
    <row r="314" spans="8:10" ht="15.75" customHeight="1" x14ac:dyDescent="0.3">
      <c r="H314" s="11"/>
      <c r="J314" s="13"/>
    </row>
    <row r="315" spans="8:10" ht="15.75" customHeight="1" x14ac:dyDescent="0.3">
      <c r="H315" s="11"/>
      <c r="J315" s="13"/>
    </row>
    <row r="316" spans="8:10" ht="15.75" customHeight="1" x14ac:dyDescent="0.3">
      <c r="H316" s="11"/>
      <c r="J316" s="13"/>
    </row>
    <row r="317" spans="8:10" ht="15.75" customHeight="1" x14ac:dyDescent="0.3">
      <c r="H317" s="11"/>
      <c r="J317" s="13"/>
    </row>
    <row r="318" spans="8:10" ht="15.75" customHeight="1" x14ac:dyDescent="0.3">
      <c r="H318" s="11"/>
      <c r="J318" s="13"/>
    </row>
    <row r="319" spans="8:10" ht="15.75" customHeight="1" x14ac:dyDescent="0.3">
      <c r="H319" s="11"/>
      <c r="J319" s="13"/>
    </row>
    <row r="320" spans="8:10" ht="15.75" customHeight="1" x14ac:dyDescent="0.3">
      <c r="H320" s="11"/>
      <c r="J320" s="13"/>
    </row>
    <row r="321" spans="8:10" ht="15.75" customHeight="1" x14ac:dyDescent="0.3">
      <c r="H321" s="11"/>
      <c r="J321" s="13"/>
    </row>
    <row r="322" spans="8:10" ht="15.75" customHeight="1" x14ac:dyDescent="0.3">
      <c r="H322" s="11"/>
      <c r="J322" s="13"/>
    </row>
    <row r="323" spans="8:10" ht="15.75" customHeight="1" x14ac:dyDescent="0.3">
      <c r="H323" s="11"/>
      <c r="J323" s="13"/>
    </row>
    <row r="324" spans="8:10" ht="15.75" customHeight="1" x14ac:dyDescent="0.3">
      <c r="H324" s="11"/>
      <c r="J324" s="13"/>
    </row>
    <row r="325" spans="8:10" ht="15.75" customHeight="1" x14ac:dyDescent="0.3">
      <c r="H325" s="11"/>
      <c r="J325" s="13"/>
    </row>
    <row r="326" spans="8:10" ht="15.75" customHeight="1" x14ac:dyDescent="0.3">
      <c r="H326" s="11"/>
      <c r="J326" s="13"/>
    </row>
    <row r="327" spans="8:10" ht="15.75" customHeight="1" x14ac:dyDescent="0.3">
      <c r="H327" s="11"/>
      <c r="J327" s="13"/>
    </row>
    <row r="328" spans="8:10" ht="15.75" customHeight="1" x14ac:dyDescent="0.3">
      <c r="H328" s="11"/>
      <c r="J328" s="13"/>
    </row>
    <row r="329" spans="8:10" ht="15.75" customHeight="1" x14ac:dyDescent="0.3">
      <c r="H329" s="11"/>
      <c r="J329" s="13"/>
    </row>
    <row r="330" spans="8:10" ht="15.75" customHeight="1" x14ac:dyDescent="0.3">
      <c r="H330" s="11"/>
      <c r="J330" s="13"/>
    </row>
    <row r="331" spans="8:10" ht="15.75" customHeight="1" x14ac:dyDescent="0.3">
      <c r="H331" s="11"/>
      <c r="J331" s="13"/>
    </row>
    <row r="332" spans="8:10" ht="15.75" customHeight="1" x14ac:dyDescent="0.3">
      <c r="H332" s="11"/>
      <c r="J332" s="13"/>
    </row>
    <row r="333" spans="8:10" ht="15.75" customHeight="1" x14ac:dyDescent="0.3">
      <c r="H333" s="11"/>
      <c r="J333" s="13"/>
    </row>
    <row r="334" spans="8:10" ht="15.75" customHeight="1" x14ac:dyDescent="0.3">
      <c r="H334" s="11"/>
      <c r="J334" s="13"/>
    </row>
    <row r="335" spans="8:10" ht="15.75" customHeight="1" x14ac:dyDescent="0.3">
      <c r="H335" s="11"/>
      <c r="J335" s="13"/>
    </row>
    <row r="336" spans="8:10" ht="15.75" customHeight="1" x14ac:dyDescent="0.3">
      <c r="H336" s="11"/>
      <c r="J336" s="13"/>
    </row>
    <row r="337" spans="8:10" ht="15.75" customHeight="1" x14ac:dyDescent="0.3">
      <c r="H337" s="11"/>
      <c r="J337" s="13"/>
    </row>
    <row r="338" spans="8:10" ht="15.75" customHeight="1" x14ac:dyDescent="0.3">
      <c r="H338" s="11"/>
      <c r="J338" s="13"/>
    </row>
    <row r="339" spans="8:10" ht="15.75" customHeight="1" x14ac:dyDescent="0.3">
      <c r="H339" s="11"/>
      <c r="J339" s="13"/>
    </row>
    <row r="340" spans="8:10" ht="15.75" customHeight="1" x14ac:dyDescent="0.3">
      <c r="H340" s="11"/>
      <c r="J340" s="13"/>
    </row>
    <row r="341" spans="8:10" ht="15.75" customHeight="1" x14ac:dyDescent="0.3">
      <c r="H341" s="11"/>
      <c r="J341" s="13"/>
    </row>
    <row r="342" spans="8:10" ht="15.75" customHeight="1" x14ac:dyDescent="0.3">
      <c r="H342" s="11"/>
      <c r="J342" s="13"/>
    </row>
    <row r="343" spans="8:10" ht="15.75" customHeight="1" x14ac:dyDescent="0.3">
      <c r="H343" s="11"/>
      <c r="J343" s="13"/>
    </row>
    <row r="344" spans="8:10" ht="15.75" customHeight="1" x14ac:dyDescent="0.3">
      <c r="H344" s="11"/>
      <c r="J344" s="13"/>
    </row>
    <row r="345" spans="8:10" ht="15.75" customHeight="1" x14ac:dyDescent="0.3">
      <c r="H345" s="11"/>
      <c r="J345" s="13"/>
    </row>
    <row r="346" spans="8:10" ht="15.75" customHeight="1" x14ac:dyDescent="0.3">
      <c r="H346" s="11"/>
      <c r="J346" s="13"/>
    </row>
    <row r="347" spans="8:10" ht="15.75" customHeight="1" x14ac:dyDescent="0.3">
      <c r="H347" s="11"/>
      <c r="J347" s="13"/>
    </row>
    <row r="348" spans="8:10" ht="15.75" customHeight="1" x14ac:dyDescent="0.3">
      <c r="H348" s="11"/>
      <c r="J348" s="13"/>
    </row>
    <row r="349" spans="8:10" ht="15.75" customHeight="1" x14ac:dyDescent="0.3">
      <c r="H349" s="11"/>
      <c r="J349" s="13"/>
    </row>
    <row r="350" spans="8:10" ht="15.75" customHeight="1" x14ac:dyDescent="0.3">
      <c r="H350" s="11"/>
      <c r="J350" s="13"/>
    </row>
    <row r="351" spans="8:10" ht="15.75" customHeight="1" x14ac:dyDescent="0.3">
      <c r="H351" s="11"/>
      <c r="J351" s="13"/>
    </row>
    <row r="352" spans="8:10" ht="15.75" customHeight="1" x14ac:dyDescent="0.3">
      <c r="H352" s="11"/>
      <c r="J352" s="13"/>
    </row>
    <row r="353" spans="8:10" ht="15.75" customHeight="1" x14ac:dyDescent="0.3">
      <c r="H353" s="11"/>
      <c r="J353" s="13"/>
    </row>
    <row r="354" spans="8:10" ht="15.75" customHeight="1" x14ac:dyDescent="0.3">
      <c r="H354" s="11"/>
      <c r="J354" s="13"/>
    </row>
    <row r="355" spans="8:10" ht="15.75" customHeight="1" x14ac:dyDescent="0.3">
      <c r="H355" s="11"/>
      <c r="J355" s="13"/>
    </row>
    <row r="356" spans="8:10" ht="15.75" customHeight="1" x14ac:dyDescent="0.3">
      <c r="H356" s="11"/>
      <c r="J356" s="13"/>
    </row>
    <row r="357" spans="8:10" ht="15.75" customHeight="1" x14ac:dyDescent="0.3">
      <c r="H357" s="11"/>
      <c r="J357" s="13"/>
    </row>
    <row r="358" spans="8:10" ht="15.75" customHeight="1" x14ac:dyDescent="0.3">
      <c r="H358" s="11"/>
      <c r="J358" s="13"/>
    </row>
    <row r="359" spans="8:10" ht="15.75" customHeight="1" x14ac:dyDescent="0.3">
      <c r="H359" s="11"/>
      <c r="J359" s="13"/>
    </row>
    <row r="360" spans="8:10" ht="15.75" customHeight="1" x14ac:dyDescent="0.3">
      <c r="H360" s="11"/>
      <c r="J360" s="13"/>
    </row>
    <row r="361" spans="8:10" ht="15.75" customHeight="1" x14ac:dyDescent="0.3">
      <c r="H361" s="11"/>
      <c r="J361" s="13"/>
    </row>
    <row r="362" spans="8:10" ht="15.75" customHeight="1" x14ac:dyDescent="0.3">
      <c r="H362" s="11"/>
      <c r="J362" s="13"/>
    </row>
    <row r="363" spans="8:10" ht="15.75" customHeight="1" x14ac:dyDescent="0.3">
      <c r="H363" s="11"/>
      <c r="J363" s="13"/>
    </row>
    <row r="364" spans="8:10" ht="15.75" customHeight="1" x14ac:dyDescent="0.3">
      <c r="H364" s="11"/>
      <c r="J364" s="13"/>
    </row>
    <row r="365" spans="8:10" ht="15.75" customHeight="1" x14ac:dyDescent="0.3">
      <c r="H365" s="11"/>
      <c r="J365" s="13"/>
    </row>
    <row r="366" spans="8:10" ht="15.75" customHeight="1" x14ac:dyDescent="0.3">
      <c r="H366" s="11"/>
      <c r="J366" s="13"/>
    </row>
    <row r="367" spans="8:10" ht="15.75" customHeight="1" x14ac:dyDescent="0.3">
      <c r="H367" s="11"/>
      <c r="J367" s="13"/>
    </row>
    <row r="368" spans="8:10" ht="15.75" customHeight="1" x14ac:dyDescent="0.3">
      <c r="H368" s="11"/>
      <c r="J368" s="13"/>
    </row>
    <row r="369" spans="8:10" ht="15.75" customHeight="1" x14ac:dyDescent="0.3">
      <c r="H369" s="11"/>
      <c r="J369" s="13"/>
    </row>
    <row r="370" spans="8:10" ht="15.75" customHeight="1" x14ac:dyDescent="0.3">
      <c r="H370" s="11"/>
      <c r="J370" s="13"/>
    </row>
    <row r="371" spans="8:10" ht="15.75" customHeight="1" x14ac:dyDescent="0.3">
      <c r="H371" s="11"/>
      <c r="J371" s="13"/>
    </row>
    <row r="372" spans="8:10" ht="15.75" customHeight="1" x14ac:dyDescent="0.3">
      <c r="H372" s="11"/>
      <c r="J372" s="13"/>
    </row>
    <row r="373" spans="8:10" ht="15.75" customHeight="1" x14ac:dyDescent="0.3">
      <c r="H373" s="11"/>
      <c r="J373" s="13"/>
    </row>
    <row r="374" spans="8:10" ht="15.75" customHeight="1" x14ac:dyDescent="0.3">
      <c r="H374" s="11"/>
      <c r="J374" s="13"/>
    </row>
    <row r="375" spans="8:10" ht="15.75" customHeight="1" x14ac:dyDescent="0.3">
      <c r="H375" s="11"/>
      <c r="J375" s="13"/>
    </row>
    <row r="376" spans="8:10" ht="15.75" customHeight="1" x14ac:dyDescent="0.3">
      <c r="H376" s="11"/>
      <c r="J376" s="13"/>
    </row>
    <row r="377" spans="8:10" ht="15.75" customHeight="1" x14ac:dyDescent="0.3">
      <c r="H377" s="11"/>
      <c r="J377" s="13"/>
    </row>
    <row r="378" spans="8:10" ht="15.75" customHeight="1" x14ac:dyDescent="0.3">
      <c r="H378" s="11"/>
      <c r="J378" s="13"/>
    </row>
    <row r="379" spans="8:10" ht="15.75" customHeight="1" x14ac:dyDescent="0.3">
      <c r="H379" s="11"/>
      <c r="J379" s="13"/>
    </row>
    <row r="380" spans="8:10" ht="15.75" customHeight="1" x14ac:dyDescent="0.3">
      <c r="H380" s="11"/>
      <c r="J380" s="13"/>
    </row>
    <row r="381" spans="8:10" ht="15.75" customHeight="1" x14ac:dyDescent="0.3">
      <c r="H381" s="11"/>
      <c r="J381" s="13"/>
    </row>
    <row r="382" spans="8:10" ht="15.75" customHeight="1" x14ac:dyDescent="0.3">
      <c r="H382" s="11"/>
      <c r="J382" s="13"/>
    </row>
    <row r="383" spans="8:10" ht="15.75" customHeight="1" x14ac:dyDescent="0.3">
      <c r="H383" s="11"/>
      <c r="J383" s="13"/>
    </row>
    <row r="384" spans="8:10" ht="15.75" customHeight="1" x14ac:dyDescent="0.3">
      <c r="H384" s="11"/>
      <c r="J384" s="13"/>
    </row>
    <row r="385" spans="8:10" ht="15.75" customHeight="1" x14ac:dyDescent="0.3">
      <c r="H385" s="11"/>
      <c r="J385" s="13"/>
    </row>
    <row r="386" spans="8:10" ht="15.75" customHeight="1" x14ac:dyDescent="0.3">
      <c r="H386" s="11"/>
      <c r="J386" s="13"/>
    </row>
    <row r="387" spans="8:10" ht="15.75" customHeight="1" x14ac:dyDescent="0.3">
      <c r="H387" s="11"/>
      <c r="J387" s="13"/>
    </row>
    <row r="388" spans="8:10" ht="15.75" customHeight="1" x14ac:dyDescent="0.3">
      <c r="H388" s="11"/>
      <c r="J388" s="13"/>
    </row>
    <row r="389" spans="8:10" ht="15.75" customHeight="1" x14ac:dyDescent="0.3">
      <c r="H389" s="11"/>
      <c r="J389" s="13"/>
    </row>
    <row r="390" spans="8:10" ht="15.75" customHeight="1" x14ac:dyDescent="0.3">
      <c r="H390" s="11"/>
      <c r="J390" s="13"/>
    </row>
    <row r="391" spans="8:10" ht="15.75" customHeight="1" x14ac:dyDescent="0.3">
      <c r="H391" s="11"/>
      <c r="J391" s="13"/>
    </row>
    <row r="392" spans="8:10" ht="15.75" customHeight="1" x14ac:dyDescent="0.3">
      <c r="H392" s="11"/>
      <c r="J392" s="13"/>
    </row>
    <row r="393" spans="8:10" ht="15.75" customHeight="1" x14ac:dyDescent="0.3">
      <c r="H393" s="11"/>
      <c r="J393" s="13"/>
    </row>
    <row r="394" spans="8:10" ht="15.75" customHeight="1" x14ac:dyDescent="0.3">
      <c r="H394" s="11"/>
      <c r="J394" s="13"/>
    </row>
    <row r="395" spans="8:10" ht="15.75" customHeight="1" x14ac:dyDescent="0.3">
      <c r="H395" s="11"/>
      <c r="J395" s="13"/>
    </row>
    <row r="396" spans="8:10" ht="15.75" customHeight="1" x14ac:dyDescent="0.3">
      <c r="H396" s="11"/>
      <c r="J396" s="13"/>
    </row>
    <row r="397" spans="8:10" ht="15.75" customHeight="1" x14ac:dyDescent="0.3">
      <c r="H397" s="11"/>
      <c r="J397" s="13"/>
    </row>
    <row r="398" spans="8:10" ht="15.75" customHeight="1" x14ac:dyDescent="0.3">
      <c r="H398" s="11"/>
      <c r="J398" s="13"/>
    </row>
    <row r="399" spans="8:10" ht="15.75" customHeight="1" x14ac:dyDescent="0.3">
      <c r="H399" s="11"/>
      <c r="J399" s="13"/>
    </row>
    <row r="400" spans="8:10" ht="15.75" customHeight="1" x14ac:dyDescent="0.3">
      <c r="H400" s="11"/>
      <c r="J400" s="13"/>
    </row>
    <row r="401" spans="8:10" ht="15.75" customHeight="1" x14ac:dyDescent="0.3">
      <c r="H401" s="11"/>
      <c r="J401" s="13"/>
    </row>
    <row r="402" spans="8:10" ht="15.75" customHeight="1" x14ac:dyDescent="0.3">
      <c r="H402" s="11"/>
      <c r="J402" s="13"/>
    </row>
    <row r="403" spans="8:10" ht="15.75" customHeight="1" x14ac:dyDescent="0.3">
      <c r="H403" s="11"/>
      <c r="J403" s="13"/>
    </row>
    <row r="404" spans="8:10" ht="15.75" customHeight="1" x14ac:dyDescent="0.3">
      <c r="H404" s="11"/>
      <c r="J404" s="13"/>
    </row>
    <row r="405" spans="8:10" ht="15.75" customHeight="1" x14ac:dyDescent="0.3">
      <c r="H405" s="11"/>
      <c r="J405" s="13"/>
    </row>
    <row r="406" spans="8:10" ht="15.75" customHeight="1" x14ac:dyDescent="0.3">
      <c r="H406" s="11"/>
      <c r="J406" s="13"/>
    </row>
    <row r="407" spans="8:10" ht="15.75" customHeight="1" x14ac:dyDescent="0.3">
      <c r="H407" s="11"/>
      <c r="J407" s="13"/>
    </row>
    <row r="408" spans="8:10" ht="15.75" customHeight="1" x14ac:dyDescent="0.3">
      <c r="H408" s="11"/>
      <c r="J408" s="13"/>
    </row>
    <row r="409" spans="8:10" ht="15.75" customHeight="1" x14ac:dyDescent="0.3">
      <c r="H409" s="11"/>
      <c r="J409" s="13"/>
    </row>
    <row r="410" spans="8:10" ht="15.75" customHeight="1" x14ac:dyDescent="0.3">
      <c r="H410" s="11"/>
      <c r="J410" s="13"/>
    </row>
    <row r="411" spans="8:10" ht="15.75" customHeight="1" x14ac:dyDescent="0.3">
      <c r="H411" s="11"/>
      <c r="J411" s="13"/>
    </row>
    <row r="412" spans="8:10" ht="15.75" customHeight="1" x14ac:dyDescent="0.3">
      <c r="H412" s="11"/>
      <c r="J412" s="13"/>
    </row>
    <row r="413" spans="8:10" ht="15.75" customHeight="1" x14ac:dyDescent="0.3">
      <c r="H413" s="11"/>
      <c r="J413" s="13"/>
    </row>
    <row r="414" spans="8:10" ht="15.75" customHeight="1" x14ac:dyDescent="0.3">
      <c r="H414" s="11"/>
      <c r="J414" s="13"/>
    </row>
    <row r="415" spans="8:10" ht="15.75" customHeight="1" x14ac:dyDescent="0.3">
      <c r="H415" s="11"/>
      <c r="J415" s="13"/>
    </row>
    <row r="416" spans="8:10" ht="15.75" customHeight="1" x14ac:dyDescent="0.3">
      <c r="H416" s="11"/>
      <c r="J416" s="13"/>
    </row>
    <row r="417" spans="8:10" ht="15.75" customHeight="1" x14ac:dyDescent="0.3">
      <c r="H417" s="11"/>
      <c r="J417" s="13"/>
    </row>
    <row r="418" spans="8:10" ht="15.75" customHeight="1" x14ac:dyDescent="0.3">
      <c r="H418" s="11"/>
      <c r="J418" s="13"/>
    </row>
    <row r="419" spans="8:10" ht="15.75" customHeight="1" x14ac:dyDescent="0.3">
      <c r="H419" s="11"/>
      <c r="J419" s="13"/>
    </row>
    <row r="420" spans="8:10" ht="15.75" customHeight="1" x14ac:dyDescent="0.3">
      <c r="H420" s="11"/>
      <c r="J420" s="13"/>
    </row>
    <row r="421" spans="8:10" ht="15.75" customHeight="1" x14ac:dyDescent="0.3">
      <c r="H421" s="11"/>
      <c r="J421" s="13"/>
    </row>
    <row r="422" spans="8:10" ht="15.75" customHeight="1" x14ac:dyDescent="0.3">
      <c r="H422" s="11"/>
      <c r="J422" s="13"/>
    </row>
    <row r="423" spans="8:10" ht="15.75" customHeight="1" x14ac:dyDescent="0.3">
      <c r="H423" s="11"/>
      <c r="J423" s="13"/>
    </row>
    <row r="424" spans="8:10" ht="15.75" customHeight="1" x14ac:dyDescent="0.3">
      <c r="H424" s="11"/>
      <c r="J424" s="13"/>
    </row>
    <row r="425" spans="8:10" ht="15.75" customHeight="1" x14ac:dyDescent="0.3">
      <c r="H425" s="11"/>
      <c r="J425" s="13"/>
    </row>
    <row r="426" spans="8:10" ht="15.75" customHeight="1" x14ac:dyDescent="0.3">
      <c r="H426" s="11"/>
      <c r="J426" s="13"/>
    </row>
    <row r="427" spans="8:10" ht="15.75" customHeight="1" x14ac:dyDescent="0.3">
      <c r="H427" s="11"/>
      <c r="J427" s="13"/>
    </row>
    <row r="428" spans="8:10" ht="15.75" customHeight="1" x14ac:dyDescent="0.3">
      <c r="H428" s="11"/>
      <c r="J428" s="13"/>
    </row>
    <row r="429" spans="8:10" ht="15.75" customHeight="1" x14ac:dyDescent="0.3">
      <c r="H429" s="11"/>
      <c r="J429" s="13"/>
    </row>
    <row r="430" spans="8:10" ht="15.75" customHeight="1" x14ac:dyDescent="0.3">
      <c r="H430" s="11"/>
      <c r="J430" s="13"/>
    </row>
    <row r="431" spans="8:10" ht="15.75" customHeight="1" x14ac:dyDescent="0.3">
      <c r="H431" s="11"/>
      <c r="J431" s="13"/>
    </row>
    <row r="432" spans="8:10" ht="15.75" customHeight="1" x14ac:dyDescent="0.3">
      <c r="H432" s="11"/>
      <c r="J432" s="13"/>
    </row>
    <row r="433" spans="8:10" ht="15.75" customHeight="1" x14ac:dyDescent="0.3">
      <c r="H433" s="11"/>
      <c r="J433" s="13"/>
    </row>
    <row r="434" spans="8:10" ht="15.75" customHeight="1" x14ac:dyDescent="0.3">
      <c r="H434" s="11"/>
      <c r="J434" s="13"/>
    </row>
    <row r="435" spans="8:10" ht="15.75" customHeight="1" x14ac:dyDescent="0.3">
      <c r="H435" s="11"/>
      <c r="J435" s="13"/>
    </row>
    <row r="436" spans="8:10" ht="15.75" customHeight="1" x14ac:dyDescent="0.3">
      <c r="H436" s="11"/>
      <c r="J436" s="13"/>
    </row>
    <row r="437" spans="8:10" ht="15.75" customHeight="1" x14ac:dyDescent="0.3">
      <c r="H437" s="11"/>
      <c r="J437" s="13"/>
    </row>
    <row r="438" spans="8:10" ht="15.75" customHeight="1" x14ac:dyDescent="0.3">
      <c r="H438" s="11"/>
      <c r="J438" s="13"/>
    </row>
    <row r="439" spans="8:10" ht="15.75" customHeight="1" x14ac:dyDescent="0.3">
      <c r="H439" s="11"/>
      <c r="J439" s="13"/>
    </row>
    <row r="440" spans="8:10" ht="15.75" customHeight="1" x14ac:dyDescent="0.3">
      <c r="H440" s="11"/>
      <c r="J440" s="13"/>
    </row>
    <row r="441" spans="8:10" ht="15.75" customHeight="1" x14ac:dyDescent="0.3">
      <c r="H441" s="11"/>
      <c r="J441" s="13"/>
    </row>
    <row r="442" spans="8:10" ht="15.75" customHeight="1" x14ac:dyDescent="0.3">
      <c r="H442" s="11"/>
      <c r="J442" s="13"/>
    </row>
    <row r="443" spans="8:10" ht="15.75" customHeight="1" x14ac:dyDescent="0.3">
      <c r="H443" s="11"/>
      <c r="J443" s="13"/>
    </row>
    <row r="444" spans="8:10" ht="15.75" customHeight="1" x14ac:dyDescent="0.3">
      <c r="H444" s="11"/>
      <c r="J444" s="13"/>
    </row>
    <row r="445" spans="8:10" ht="15.75" customHeight="1" x14ac:dyDescent="0.3">
      <c r="H445" s="11"/>
      <c r="J445" s="13"/>
    </row>
    <row r="446" spans="8:10" ht="15.75" customHeight="1" x14ac:dyDescent="0.3">
      <c r="H446" s="11"/>
      <c r="J446" s="13"/>
    </row>
    <row r="447" spans="8:10" ht="15.75" customHeight="1" x14ac:dyDescent="0.3">
      <c r="H447" s="11"/>
      <c r="J447" s="13"/>
    </row>
    <row r="448" spans="8:10" ht="15.75" customHeight="1" x14ac:dyDescent="0.3">
      <c r="H448" s="11"/>
      <c r="J448" s="13"/>
    </row>
    <row r="449" spans="8:10" ht="15.75" customHeight="1" x14ac:dyDescent="0.3">
      <c r="H449" s="11"/>
      <c r="J449" s="13"/>
    </row>
    <row r="450" spans="8:10" ht="15.75" customHeight="1" x14ac:dyDescent="0.3">
      <c r="H450" s="11"/>
      <c r="J450" s="13"/>
    </row>
    <row r="451" spans="8:10" ht="15.75" customHeight="1" x14ac:dyDescent="0.3">
      <c r="H451" s="11"/>
      <c r="J451" s="13"/>
    </row>
    <row r="452" spans="8:10" ht="15.75" customHeight="1" x14ac:dyDescent="0.3">
      <c r="H452" s="11"/>
      <c r="J452" s="13"/>
    </row>
    <row r="453" spans="8:10" ht="15.75" customHeight="1" x14ac:dyDescent="0.3">
      <c r="H453" s="11"/>
      <c r="J453" s="13"/>
    </row>
    <row r="454" spans="8:10" ht="15.75" customHeight="1" x14ac:dyDescent="0.3">
      <c r="H454" s="11"/>
      <c r="J454" s="13"/>
    </row>
    <row r="455" spans="8:10" ht="15.75" customHeight="1" x14ac:dyDescent="0.3">
      <c r="H455" s="11"/>
      <c r="J455" s="13"/>
    </row>
    <row r="456" spans="8:10" ht="15.75" customHeight="1" x14ac:dyDescent="0.3">
      <c r="H456" s="11"/>
      <c r="J456" s="13"/>
    </row>
    <row r="457" spans="8:10" ht="15.75" customHeight="1" x14ac:dyDescent="0.3">
      <c r="H457" s="11"/>
      <c r="J457" s="13"/>
    </row>
    <row r="458" spans="8:10" ht="15.75" customHeight="1" x14ac:dyDescent="0.3">
      <c r="H458" s="11"/>
      <c r="J458" s="13"/>
    </row>
    <row r="459" spans="8:10" ht="15.75" customHeight="1" x14ac:dyDescent="0.3">
      <c r="H459" s="11"/>
      <c r="J459" s="13"/>
    </row>
    <row r="460" spans="8:10" ht="15.75" customHeight="1" x14ac:dyDescent="0.3">
      <c r="H460" s="11"/>
      <c r="J460" s="13"/>
    </row>
    <row r="461" spans="8:10" ht="15.75" customHeight="1" x14ac:dyDescent="0.3">
      <c r="H461" s="11"/>
      <c r="J461" s="13"/>
    </row>
    <row r="462" spans="8:10" ht="15.75" customHeight="1" x14ac:dyDescent="0.3">
      <c r="H462" s="11"/>
      <c r="J462" s="13"/>
    </row>
    <row r="463" spans="8:10" ht="15.75" customHeight="1" x14ac:dyDescent="0.3">
      <c r="H463" s="11"/>
      <c r="J463" s="13"/>
    </row>
    <row r="464" spans="8:10" ht="15.75" customHeight="1" x14ac:dyDescent="0.3">
      <c r="H464" s="11"/>
      <c r="J464" s="13"/>
    </row>
    <row r="465" spans="8:10" ht="15.75" customHeight="1" x14ac:dyDescent="0.3">
      <c r="H465" s="11"/>
      <c r="J465" s="13"/>
    </row>
    <row r="466" spans="8:10" ht="15.75" customHeight="1" x14ac:dyDescent="0.3">
      <c r="H466" s="11"/>
      <c r="J466" s="13"/>
    </row>
    <row r="467" spans="8:10" ht="15.75" customHeight="1" x14ac:dyDescent="0.3">
      <c r="H467" s="11"/>
      <c r="J467" s="13"/>
    </row>
    <row r="468" spans="8:10" ht="15.75" customHeight="1" x14ac:dyDescent="0.3">
      <c r="H468" s="11"/>
      <c r="J468" s="13"/>
    </row>
    <row r="469" spans="8:10" ht="15.75" customHeight="1" x14ac:dyDescent="0.3">
      <c r="H469" s="11"/>
      <c r="J469" s="13"/>
    </row>
    <row r="470" spans="8:10" ht="15.75" customHeight="1" x14ac:dyDescent="0.3">
      <c r="H470" s="11"/>
      <c r="J470" s="13"/>
    </row>
    <row r="471" spans="8:10" ht="15.75" customHeight="1" x14ac:dyDescent="0.3">
      <c r="H471" s="11"/>
      <c r="J471" s="13"/>
    </row>
    <row r="472" spans="8:10" ht="15.75" customHeight="1" x14ac:dyDescent="0.3">
      <c r="H472" s="11"/>
      <c r="J472" s="13"/>
    </row>
    <row r="473" spans="8:10" ht="15.75" customHeight="1" x14ac:dyDescent="0.3">
      <c r="H473" s="11"/>
      <c r="J473" s="13"/>
    </row>
    <row r="474" spans="8:10" ht="15.75" customHeight="1" x14ac:dyDescent="0.3">
      <c r="H474" s="11"/>
      <c r="J474" s="13"/>
    </row>
    <row r="475" spans="8:10" ht="15.75" customHeight="1" x14ac:dyDescent="0.3">
      <c r="H475" s="11"/>
      <c r="J475" s="13"/>
    </row>
    <row r="476" spans="8:10" ht="15.75" customHeight="1" x14ac:dyDescent="0.3">
      <c r="H476" s="11"/>
      <c r="J476" s="13"/>
    </row>
    <row r="477" spans="8:10" ht="15.75" customHeight="1" x14ac:dyDescent="0.3">
      <c r="H477" s="11"/>
      <c r="J477" s="13"/>
    </row>
    <row r="478" spans="8:10" ht="15.75" customHeight="1" x14ac:dyDescent="0.3">
      <c r="H478" s="11"/>
      <c r="J478" s="13"/>
    </row>
    <row r="479" spans="8:10" ht="15.75" customHeight="1" x14ac:dyDescent="0.3">
      <c r="H479" s="11"/>
      <c r="J479" s="13"/>
    </row>
    <row r="480" spans="8:10" ht="15.75" customHeight="1" x14ac:dyDescent="0.3">
      <c r="H480" s="11"/>
      <c r="J480" s="13"/>
    </row>
    <row r="481" spans="8:10" ht="15.75" customHeight="1" x14ac:dyDescent="0.3">
      <c r="H481" s="11"/>
      <c r="J481" s="13"/>
    </row>
    <row r="482" spans="8:10" ht="15.75" customHeight="1" x14ac:dyDescent="0.3">
      <c r="H482" s="11"/>
      <c r="J482" s="13"/>
    </row>
    <row r="483" spans="8:10" ht="15.75" customHeight="1" x14ac:dyDescent="0.3">
      <c r="H483" s="11"/>
      <c r="J483" s="13"/>
    </row>
    <row r="484" spans="8:10" ht="15.75" customHeight="1" x14ac:dyDescent="0.3">
      <c r="H484" s="11"/>
      <c r="J484" s="13"/>
    </row>
    <row r="485" spans="8:10" ht="15.75" customHeight="1" x14ac:dyDescent="0.3">
      <c r="H485" s="11"/>
      <c r="J485" s="13"/>
    </row>
    <row r="486" spans="8:10" ht="15.75" customHeight="1" x14ac:dyDescent="0.3">
      <c r="H486" s="11"/>
      <c r="J486" s="13"/>
    </row>
    <row r="487" spans="8:10" ht="15.75" customHeight="1" x14ac:dyDescent="0.3">
      <c r="H487" s="11"/>
      <c r="J487" s="13"/>
    </row>
    <row r="488" spans="8:10" ht="15.75" customHeight="1" x14ac:dyDescent="0.3">
      <c r="H488" s="11"/>
      <c r="J488" s="13"/>
    </row>
    <row r="489" spans="8:10" ht="15.75" customHeight="1" x14ac:dyDescent="0.3">
      <c r="H489" s="11"/>
      <c r="J489" s="13"/>
    </row>
    <row r="490" spans="8:10" ht="15.75" customHeight="1" x14ac:dyDescent="0.3">
      <c r="H490" s="11"/>
      <c r="J490" s="13"/>
    </row>
    <row r="491" spans="8:10" ht="15.75" customHeight="1" x14ac:dyDescent="0.3">
      <c r="H491" s="11"/>
      <c r="J491" s="13"/>
    </row>
    <row r="492" spans="8:10" ht="15.75" customHeight="1" x14ac:dyDescent="0.3">
      <c r="H492" s="11"/>
      <c r="J492" s="13"/>
    </row>
    <row r="493" spans="8:10" ht="15.75" customHeight="1" x14ac:dyDescent="0.3">
      <c r="H493" s="11"/>
      <c r="J493" s="13"/>
    </row>
    <row r="494" spans="8:10" ht="15.75" customHeight="1" x14ac:dyDescent="0.3">
      <c r="H494" s="11"/>
      <c r="J494" s="13"/>
    </row>
    <row r="495" spans="8:10" ht="15.75" customHeight="1" x14ac:dyDescent="0.3">
      <c r="H495" s="11"/>
      <c r="J495" s="13"/>
    </row>
    <row r="496" spans="8:10" ht="15.75" customHeight="1" x14ac:dyDescent="0.3">
      <c r="H496" s="11"/>
      <c r="J496" s="13"/>
    </row>
    <row r="497" spans="8:10" ht="15.75" customHeight="1" x14ac:dyDescent="0.3">
      <c r="H497" s="11"/>
      <c r="J497" s="13"/>
    </row>
    <row r="498" spans="8:10" ht="15.75" customHeight="1" x14ac:dyDescent="0.3">
      <c r="H498" s="11"/>
      <c r="J498" s="13"/>
    </row>
    <row r="499" spans="8:10" ht="15.75" customHeight="1" x14ac:dyDescent="0.3">
      <c r="H499" s="11"/>
      <c r="J499" s="13"/>
    </row>
    <row r="500" spans="8:10" ht="15.75" customHeight="1" x14ac:dyDescent="0.3">
      <c r="H500" s="11"/>
      <c r="J500" s="13"/>
    </row>
    <row r="501" spans="8:10" ht="15.75" customHeight="1" x14ac:dyDescent="0.3">
      <c r="H501" s="11"/>
      <c r="J501" s="13"/>
    </row>
    <row r="502" spans="8:10" ht="15.75" customHeight="1" x14ac:dyDescent="0.3">
      <c r="H502" s="11"/>
      <c r="J502" s="13"/>
    </row>
    <row r="503" spans="8:10" ht="15.75" customHeight="1" x14ac:dyDescent="0.3">
      <c r="H503" s="11"/>
      <c r="J503" s="13"/>
    </row>
    <row r="504" spans="8:10" ht="15.75" customHeight="1" x14ac:dyDescent="0.3">
      <c r="H504" s="11"/>
      <c r="J504" s="13"/>
    </row>
    <row r="505" spans="8:10" ht="15.75" customHeight="1" x14ac:dyDescent="0.3">
      <c r="H505" s="11"/>
      <c r="J505" s="13"/>
    </row>
    <row r="506" spans="8:10" ht="15.75" customHeight="1" x14ac:dyDescent="0.3">
      <c r="H506" s="11"/>
      <c r="J506" s="13"/>
    </row>
    <row r="507" spans="8:10" ht="15.75" customHeight="1" x14ac:dyDescent="0.3">
      <c r="H507" s="11"/>
      <c r="J507" s="13"/>
    </row>
    <row r="508" spans="8:10" ht="15.75" customHeight="1" x14ac:dyDescent="0.3">
      <c r="H508" s="11"/>
      <c r="J508" s="13"/>
    </row>
    <row r="509" spans="8:10" ht="15.75" customHeight="1" x14ac:dyDescent="0.3">
      <c r="H509" s="11"/>
      <c r="J509" s="13"/>
    </row>
    <row r="510" spans="8:10" ht="15.75" customHeight="1" x14ac:dyDescent="0.3">
      <c r="H510" s="11"/>
      <c r="J510" s="13"/>
    </row>
    <row r="511" spans="8:10" ht="15.75" customHeight="1" x14ac:dyDescent="0.3">
      <c r="H511" s="11"/>
      <c r="J511" s="13"/>
    </row>
    <row r="512" spans="8:10" ht="15.75" customHeight="1" x14ac:dyDescent="0.3">
      <c r="H512" s="11"/>
      <c r="J512" s="13"/>
    </row>
    <row r="513" spans="8:10" ht="15.75" customHeight="1" x14ac:dyDescent="0.3">
      <c r="H513" s="11"/>
      <c r="J513" s="13"/>
    </row>
    <row r="514" spans="8:10" ht="15.75" customHeight="1" x14ac:dyDescent="0.3">
      <c r="H514" s="11"/>
      <c r="J514" s="13"/>
    </row>
    <row r="515" spans="8:10" ht="15.75" customHeight="1" x14ac:dyDescent="0.3">
      <c r="H515" s="11"/>
      <c r="J515" s="13"/>
    </row>
    <row r="516" spans="8:10" ht="15.75" customHeight="1" x14ac:dyDescent="0.3">
      <c r="H516" s="11"/>
      <c r="J516" s="13"/>
    </row>
    <row r="517" spans="8:10" ht="15.75" customHeight="1" x14ac:dyDescent="0.3">
      <c r="H517" s="11"/>
      <c r="J517" s="13"/>
    </row>
    <row r="518" spans="8:10" ht="15.75" customHeight="1" x14ac:dyDescent="0.3">
      <c r="H518" s="11"/>
      <c r="J518" s="13"/>
    </row>
    <row r="519" spans="8:10" ht="15.75" customHeight="1" x14ac:dyDescent="0.3">
      <c r="H519" s="11"/>
      <c r="J519" s="13"/>
    </row>
    <row r="520" spans="8:10" ht="15.75" customHeight="1" x14ac:dyDescent="0.3">
      <c r="H520" s="11"/>
      <c r="J520" s="13"/>
    </row>
    <row r="521" spans="8:10" ht="15.75" customHeight="1" x14ac:dyDescent="0.3">
      <c r="H521" s="11"/>
      <c r="J521" s="13"/>
    </row>
    <row r="522" spans="8:10" ht="15.75" customHeight="1" x14ac:dyDescent="0.3">
      <c r="H522" s="11"/>
      <c r="J522" s="13"/>
    </row>
    <row r="523" spans="8:10" ht="15.75" customHeight="1" x14ac:dyDescent="0.3">
      <c r="H523" s="11"/>
      <c r="J523" s="13"/>
    </row>
    <row r="524" spans="8:10" ht="15.75" customHeight="1" x14ac:dyDescent="0.3">
      <c r="H524" s="11"/>
      <c r="J524" s="13"/>
    </row>
    <row r="525" spans="8:10" ht="15.75" customHeight="1" x14ac:dyDescent="0.3">
      <c r="H525" s="11"/>
      <c r="J525" s="13"/>
    </row>
    <row r="526" spans="8:10" ht="15.75" customHeight="1" x14ac:dyDescent="0.3">
      <c r="H526" s="11"/>
      <c r="J526" s="13"/>
    </row>
    <row r="527" spans="8:10" ht="15.75" customHeight="1" x14ac:dyDescent="0.3">
      <c r="H527" s="11"/>
      <c r="J527" s="13"/>
    </row>
    <row r="528" spans="8:10" ht="15.75" customHeight="1" x14ac:dyDescent="0.3">
      <c r="H528" s="11"/>
      <c r="J528" s="13"/>
    </row>
    <row r="529" spans="8:10" ht="15.75" customHeight="1" x14ac:dyDescent="0.3">
      <c r="H529" s="11"/>
      <c r="J529" s="13"/>
    </row>
    <row r="530" spans="8:10" ht="15.75" customHeight="1" x14ac:dyDescent="0.3">
      <c r="H530" s="11"/>
      <c r="J530" s="13"/>
    </row>
    <row r="531" spans="8:10" ht="15.75" customHeight="1" x14ac:dyDescent="0.3">
      <c r="H531" s="11"/>
      <c r="J531" s="13"/>
    </row>
    <row r="532" spans="8:10" ht="15.75" customHeight="1" x14ac:dyDescent="0.3">
      <c r="H532" s="11"/>
      <c r="J532" s="13"/>
    </row>
    <row r="533" spans="8:10" ht="15.75" customHeight="1" x14ac:dyDescent="0.3">
      <c r="H533" s="11"/>
      <c r="J533" s="13"/>
    </row>
    <row r="534" spans="8:10" ht="15.75" customHeight="1" x14ac:dyDescent="0.3">
      <c r="H534" s="11"/>
      <c r="J534" s="13"/>
    </row>
    <row r="535" spans="8:10" ht="15.75" customHeight="1" x14ac:dyDescent="0.3">
      <c r="H535" s="11"/>
      <c r="J535" s="13"/>
    </row>
    <row r="536" spans="8:10" ht="15.75" customHeight="1" x14ac:dyDescent="0.3">
      <c r="H536" s="11"/>
      <c r="J536" s="13"/>
    </row>
    <row r="537" spans="8:10" ht="15.75" customHeight="1" x14ac:dyDescent="0.3">
      <c r="H537" s="11"/>
      <c r="J537" s="13"/>
    </row>
    <row r="538" spans="8:10" ht="15.75" customHeight="1" x14ac:dyDescent="0.3">
      <c r="H538" s="11"/>
      <c r="J538" s="13"/>
    </row>
    <row r="539" spans="8:10" ht="15.75" customHeight="1" x14ac:dyDescent="0.3">
      <c r="H539" s="11"/>
      <c r="J539" s="13"/>
    </row>
    <row r="540" spans="8:10" ht="15.75" customHeight="1" x14ac:dyDescent="0.3">
      <c r="H540" s="11"/>
      <c r="J540" s="13"/>
    </row>
    <row r="541" spans="8:10" ht="15.75" customHeight="1" x14ac:dyDescent="0.3">
      <c r="H541" s="11"/>
      <c r="J541" s="13"/>
    </row>
    <row r="542" spans="8:10" ht="15.75" customHeight="1" x14ac:dyDescent="0.3">
      <c r="H542" s="11"/>
      <c r="J542" s="13"/>
    </row>
    <row r="543" spans="8:10" ht="15.75" customHeight="1" x14ac:dyDescent="0.3">
      <c r="H543" s="11"/>
      <c r="J543" s="13"/>
    </row>
    <row r="544" spans="8:10" ht="15.75" customHeight="1" x14ac:dyDescent="0.3">
      <c r="H544" s="11"/>
      <c r="J544" s="13"/>
    </row>
    <row r="545" spans="8:10" ht="15.75" customHeight="1" x14ac:dyDescent="0.3">
      <c r="H545" s="11"/>
      <c r="J545" s="13"/>
    </row>
    <row r="546" spans="8:10" ht="15.75" customHeight="1" x14ac:dyDescent="0.3">
      <c r="H546" s="11"/>
      <c r="J546" s="13"/>
    </row>
    <row r="547" spans="8:10" ht="15.75" customHeight="1" x14ac:dyDescent="0.3">
      <c r="H547" s="11"/>
      <c r="J547" s="13"/>
    </row>
    <row r="548" spans="8:10" ht="15.75" customHeight="1" x14ac:dyDescent="0.3">
      <c r="H548" s="11"/>
      <c r="J548" s="13"/>
    </row>
    <row r="549" spans="8:10" ht="15.75" customHeight="1" x14ac:dyDescent="0.3">
      <c r="H549" s="11"/>
      <c r="J549" s="13"/>
    </row>
    <row r="550" spans="8:10" ht="15.75" customHeight="1" x14ac:dyDescent="0.3">
      <c r="H550" s="11"/>
      <c r="J550" s="13"/>
    </row>
    <row r="551" spans="8:10" ht="15.75" customHeight="1" x14ac:dyDescent="0.3">
      <c r="H551" s="11"/>
      <c r="J551" s="13"/>
    </row>
    <row r="552" spans="8:10" ht="15.75" customHeight="1" x14ac:dyDescent="0.3">
      <c r="H552" s="11"/>
      <c r="J552" s="13"/>
    </row>
    <row r="553" spans="8:10" ht="15.75" customHeight="1" x14ac:dyDescent="0.3">
      <c r="H553" s="11"/>
      <c r="J553" s="13"/>
    </row>
    <row r="554" spans="8:10" ht="15.75" customHeight="1" x14ac:dyDescent="0.3">
      <c r="H554" s="11"/>
      <c r="J554" s="13"/>
    </row>
    <row r="555" spans="8:10" ht="15.75" customHeight="1" x14ac:dyDescent="0.3">
      <c r="H555" s="11"/>
      <c r="J555" s="13"/>
    </row>
    <row r="556" spans="8:10" ht="15.75" customHeight="1" x14ac:dyDescent="0.3">
      <c r="H556" s="11"/>
      <c r="J556" s="13"/>
    </row>
    <row r="557" spans="8:10" ht="15.75" customHeight="1" x14ac:dyDescent="0.3">
      <c r="H557" s="11"/>
      <c r="J557" s="13"/>
    </row>
    <row r="558" spans="8:10" ht="15.75" customHeight="1" x14ac:dyDescent="0.3">
      <c r="H558" s="11"/>
      <c r="J558" s="13"/>
    </row>
    <row r="559" spans="8:10" ht="15.75" customHeight="1" x14ac:dyDescent="0.3">
      <c r="H559" s="11"/>
      <c r="J559" s="13"/>
    </row>
    <row r="560" spans="8:10" ht="15.75" customHeight="1" x14ac:dyDescent="0.3">
      <c r="H560" s="11"/>
      <c r="J560" s="13"/>
    </row>
    <row r="561" spans="8:10" ht="15.75" customHeight="1" x14ac:dyDescent="0.3">
      <c r="H561" s="11"/>
      <c r="J561" s="13"/>
    </row>
    <row r="562" spans="8:10" ht="15.75" customHeight="1" x14ac:dyDescent="0.3">
      <c r="H562" s="11"/>
      <c r="J562" s="13"/>
    </row>
    <row r="563" spans="8:10" ht="15.75" customHeight="1" x14ac:dyDescent="0.3">
      <c r="H563" s="11"/>
      <c r="J563" s="13"/>
    </row>
    <row r="564" spans="8:10" ht="15.75" customHeight="1" x14ac:dyDescent="0.3">
      <c r="H564" s="11"/>
      <c r="J564" s="13"/>
    </row>
    <row r="565" spans="8:10" ht="15.75" customHeight="1" x14ac:dyDescent="0.3">
      <c r="H565" s="11"/>
      <c r="J565" s="13"/>
    </row>
    <row r="566" spans="8:10" ht="15.75" customHeight="1" x14ac:dyDescent="0.3">
      <c r="H566" s="11"/>
      <c r="J566" s="13"/>
    </row>
    <row r="567" spans="8:10" ht="15.75" customHeight="1" x14ac:dyDescent="0.3">
      <c r="H567" s="11"/>
      <c r="J567" s="13"/>
    </row>
    <row r="568" spans="8:10" ht="15.75" customHeight="1" x14ac:dyDescent="0.3">
      <c r="H568" s="11"/>
      <c r="J568" s="13"/>
    </row>
    <row r="569" spans="8:10" ht="15.75" customHeight="1" x14ac:dyDescent="0.3">
      <c r="H569" s="11"/>
      <c r="J569" s="13"/>
    </row>
    <row r="570" spans="8:10" ht="15.75" customHeight="1" x14ac:dyDescent="0.3">
      <c r="H570" s="11"/>
      <c r="J570" s="13"/>
    </row>
    <row r="571" spans="8:10" ht="15.75" customHeight="1" x14ac:dyDescent="0.3">
      <c r="H571" s="11"/>
      <c r="J571" s="13"/>
    </row>
    <row r="572" spans="8:10" ht="15.75" customHeight="1" x14ac:dyDescent="0.3">
      <c r="H572" s="11"/>
      <c r="J572" s="13"/>
    </row>
    <row r="573" spans="8:10" ht="15.75" customHeight="1" x14ac:dyDescent="0.3">
      <c r="H573" s="11"/>
      <c r="J573" s="13"/>
    </row>
    <row r="574" spans="8:10" ht="15.75" customHeight="1" x14ac:dyDescent="0.3">
      <c r="H574" s="11"/>
      <c r="J574" s="13"/>
    </row>
    <row r="575" spans="8:10" ht="15.75" customHeight="1" x14ac:dyDescent="0.3">
      <c r="H575" s="11"/>
      <c r="J575" s="13"/>
    </row>
    <row r="576" spans="8:10" ht="15.75" customHeight="1" x14ac:dyDescent="0.3">
      <c r="H576" s="11"/>
      <c r="J576" s="13"/>
    </row>
    <row r="577" spans="8:10" ht="15.75" customHeight="1" x14ac:dyDescent="0.3">
      <c r="H577" s="11"/>
      <c r="J577" s="13"/>
    </row>
    <row r="578" spans="8:10" ht="15.75" customHeight="1" x14ac:dyDescent="0.3">
      <c r="H578" s="11"/>
      <c r="J578" s="13"/>
    </row>
    <row r="579" spans="8:10" ht="15.75" customHeight="1" x14ac:dyDescent="0.3">
      <c r="H579" s="11"/>
      <c r="J579" s="13"/>
    </row>
    <row r="580" spans="8:10" ht="15.75" customHeight="1" x14ac:dyDescent="0.3">
      <c r="H580" s="11"/>
      <c r="J580" s="13"/>
    </row>
    <row r="581" spans="8:10" ht="15.75" customHeight="1" x14ac:dyDescent="0.3">
      <c r="H581" s="11"/>
      <c r="J581" s="13"/>
    </row>
    <row r="582" spans="8:10" ht="15.75" customHeight="1" x14ac:dyDescent="0.3">
      <c r="H582" s="11"/>
      <c r="J582" s="13"/>
    </row>
    <row r="583" spans="8:10" ht="15.75" customHeight="1" x14ac:dyDescent="0.3">
      <c r="H583" s="11"/>
      <c r="J583" s="13"/>
    </row>
    <row r="584" spans="8:10" ht="15.75" customHeight="1" x14ac:dyDescent="0.3">
      <c r="H584" s="11"/>
      <c r="J584" s="13"/>
    </row>
    <row r="585" spans="8:10" ht="15.75" customHeight="1" x14ac:dyDescent="0.3">
      <c r="H585" s="11"/>
      <c r="J585" s="13"/>
    </row>
    <row r="586" spans="8:10" ht="15.75" customHeight="1" x14ac:dyDescent="0.3">
      <c r="H586" s="11"/>
      <c r="J586" s="13"/>
    </row>
    <row r="587" spans="8:10" ht="15.75" customHeight="1" x14ac:dyDescent="0.3">
      <c r="H587" s="11"/>
      <c r="J587" s="13"/>
    </row>
    <row r="588" spans="8:10" ht="15.75" customHeight="1" x14ac:dyDescent="0.3">
      <c r="H588" s="11"/>
      <c r="J588" s="13"/>
    </row>
    <row r="589" spans="8:10" ht="15.75" customHeight="1" x14ac:dyDescent="0.3">
      <c r="H589" s="11"/>
      <c r="J589" s="13"/>
    </row>
    <row r="590" spans="8:10" ht="15.75" customHeight="1" x14ac:dyDescent="0.3">
      <c r="H590" s="11"/>
      <c r="J590" s="13"/>
    </row>
    <row r="591" spans="8:10" ht="15.75" customHeight="1" x14ac:dyDescent="0.3">
      <c r="H591" s="11"/>
      <c r="J591" s="13"/>
    </row>
    <row r="592" spans="8:10" ht="15.75" customHeight="1" x14ac:dyDescent="0.3">
      <c r="H592" s="11"/>
      <c r="J592" s="13"/>
    </row>
    <row r="593" spans="8:10" ht="15.75" customHeight="1" x14ac:dyDescent="0.3">
      <c r="H593" s="11"/>
      <c r="J593" s="13"/>
    </row>
    <row r="594" spans="8:10" ht="15.75" customHeight="1" x14ac:dyDescent="0.3">
      <c r="H594" s="11"/>
      <c r="J594" s="13"/>
    </row>
    <row r="595" spans="8:10" ht="15.75" customHeight="1" x14ac:dyDescent="0.3">
      <c r="H595" s="11"/>
      <c r="J595" s="13"/>
    </row>
    <row r="596" spans="8:10" ht="15.75" customHeight="1" x14ac:dyDescent="0.3">
      <c r="H596" s="11"/>
      <c r="J596" s="13"/>
    </row>
    <row r="597" spans="8:10" ht="15.75" customHeight="1" x14ac:dyDescent="0.3">
      <c r="H597" s="11"/>
      <c r="J597" s="13"/>
    </row>
    <row r="598" spans="8:10" ht="15.75" customHeight="1" x14ac:dyDescent="0.3">
      <c r="H598" s="11"/>
      <c r="J598" s="13"/>
    </row>
    <row r="599" spans="8:10" ht="15.75" customHeight="1" x14ac:dyDescent="0.3">
      <c r="H599" s="11"/>
      <c r="J599" s="13"/>
    </row>
    <row r="600" spans="8:10" ht="15.75" customHeight="1" x14ac:dyDescent="0.3">
      <c r="H600" s="11"/>
      <c r="J600" s="13"/>
    </row>
    <row r="601" spans="8:10" ht="15.75" customHeight="1" x14ac:dyDescent="0.3">
      <c r="H601" s="11"/>
      <c r="J601" s="13"/>
    </row>
    <row r="602" spans="8:10" ht="15.75" customHeight="1" x14ac:dyDescent="0.3">
      <c r="H602" s="11"/>
      <c r="J602" s="13"/>
    </row>
    <row r="603" spans="8:10" ht="15.75" customHeight="1" x14ac:dyDescent="0.3">
      <c r="H603" s="11"/>
      <c r="J603" s="13"/>
    </row>
    <row r="604" spans="8:10" ht="15.75" customHeight="1" x14ac:dyDescent="0.3">
      <c r="H604" s="11"/>
      <c r="J604" s="13"/>
    </row>
    <row r="605" spans="8:10" ht="15.75" customHeight="1" x14ac:dyDescent="0.3">
      <c r="H605" s="11"/>
      <c r="J605" s="13"/>
    </row>
    <row r="606" spans="8:10" ht="15.75" customHeight="1" x14ac:dyDescent="0.3">
      <c r="H606" s="11"/>
      <c r="J606" s="13"/>
    </row>
    <row r="607" spans="8:10" ht="15.75" customHeight="1" x14ac:dyDescent="0.3">
      <c r="H607" s="11"/>
      <c r="J607" s="13"/>
    </row>
    <row r="608" spans="8:10" ht="15.75" customHeight="1" x14ac:dyDescent="0.3">
      <c r="H608" s="11"/>
      <c r="J608" s="13"/>
    </row>
    <row r="609" spans="8:10" ht="15.75" customHeight="1" x14ac:dyDescent="0.3">
      <c r="H609" s="11"/>
      <c r="J609" s="13"/>
    </row>
    <row r="610" spans="8:10" ht="15.75" customHeight="1" x14ac:dyDescent="0.3">
      <c r="H610" s="11"/>
      <c r="J610" s="13"/>
    </row>
    <row r="611" spans="8:10" ht="15.75" customHeight="1" x14ac:dyDescent="0.3">
      <c r="H611" s="11"/>
      <c r="J611" s="13"/>
    </row>
    <row r="612" spans="8:10" ht="15.75" customHeight="1" x14ac:dyDescent="0.3">
      <c r="H612" s="11"/>
      <c r="J612" s="13"/>
    </row>
    <row r="613" spans="8:10" ht="15.75" customHeight="1" x14ac:dyDescent="0.3">
      <c r="H613" s="11"/>
      <c r="J613" s="13"/>
    </row>
    <row r="614" spans="8:10" ht="15.75" customHeight="1" x14ac:dyDescent="0.3">
      <c r="H614" s="11"/>
      <c r="J614" s="13"/>
    </row>
    <row r="615" spans="8:10" ht="15.75" customHeight="1" x14ac:dyDescent="0.3">
      <c r="H615" s="11"/>
      <c r="J615" s="13"/>
    </row>
    <row r="616" spans="8:10" ht="15.75" customHeight="1" x14ac:dyDescent="0.3">
      <c r="H616" s="11"/>
      <c r="J616" s="13"/>
    </row>
    <row r="617" spans="8:10" ht="15.75" customHeight="1" x14ac:dyDescent="0.3">
      <c r="H617" s="11"/>
      <c r="J617" s="13"/>
    </row>
    <row r="618" spans="8:10" ht="15.75" customHeight="1" x14ac:dyDescent="0.3">
      <c r="H618" s="11"/>
      <c r="J618" s="13"/>
    </row>
    <row r="619" spans="8:10" ht="15.75" customHeight="1" x14ac:dyDescent="0.3">
      <c r="H619" s="11"/>
      <c r="J619" s="13"/>
    </row>
    <row r="620" spans="8:10" ht="15.75" customHeight="1" x14ac:dyDescent="0.3">
      <c r="H620" s="11"/>
      <c r="J620" s="13"/>
    </row>
    <row r="621" spans="8:10" ht="15.75" customHeight="1" x14ac:dyDescent="0.3">
      <c r="H621" s="11"/>
      <c r="J621" s="13"/>
    </row>
    <row r="622" spans="8:10" ht="15.75" customHeight="1" x14ac:dyDescent="0.3">
      <c r="H622" s="11"/>
      <c r="J622" s="13"/>
    </row>
    <row r="623" spans="8:10" ht="15.75" customHeight="1" x14ac:dyDescent="0.3">
      <c r="H623" s="11"/>
      <c r="J623" s="13"/>
    </row>
    <row r="624" spans="8:10" ht="15.75" customHeight="1" x14ac:dyDescent="0.3">
      <c r="H624" s="11"/>
      <c r="J624" s="13"/>
    </row>
    <row r="625" spans="8:10" ht="15.75" customHeight="1" x14ac:dyDescent="0.3">
      <c r="H625" s="11"/>
      <c r="J625" s="13"/>
    </row>
    <row r="626" spans="8:10" ht="15.75" customHeight="1" x14ac:dyDescent="0.3">
      <c r="H626" s="11"/>
      <c r="J626" s="13"/>
    </row>
    <row r="627" spans="8:10" ht="15.75" customHeight="1" x14ac:dyDescent="0.3">
      <c r="H627" s="11"/>
      <c r="J627" s="13"/>
    </row>
    <row r="628" spans="8:10" ht="15.75" customHeight="1" x14ac:dyDescent="0.3">
      <c r="H628" s="11"/>
      <c r="J628" s="13"/>
    </row>
    <row r="629" spans="8:10" ht="15.75" customHeight="1" x14ac:dyDescent="0.3">
      <c r="H629" s="11"/>
      <c r="J629" s="13"/>
    </row>
    <row r="630" spans="8:10" ht="15.75" customHeight="1" x14ac:dyDescent="0.3">
      <c r="H630" s="11"/>
      <c r="J630" s="13"/>
    </row>
    <row r="631" spans="8:10" ht="15.75" customHeight="1" x14ac:dyDescent="0.3">
      <c r="H631" s="11"/>
      <c r="J631" s="13"/>
    </row>
    <row r="632" spans="8:10" ht="15.75" customHeight="1" x14ac:dyDescent="0.3">
      <c r="H632" s="11"/>
      <c r="J632" s="13"/>
    </row>
    <row r="633" spans="8:10" ht="15.75" customHeight="1" x14ac:dyDescent="0.3">
      <c r="H633" s="11"/>
      <c r="J633" s="13"/>
    </row>
    <row r="634" spans="8:10" ht="15.75" customHeight="1" x14ac:dyDescent="0.3">
      <c r="H634" s="11"/>
      <c r="J634" s="13"/>
    </row>
    <row r="635" spans="8:10" ht="15.75" customHeight="1" x14ac:dyDescent="0.3">
      <c r="H635" s="11"/>
      <c r="J635" s="13"/>
    </row>
    <row r="636" spans="8:10" ht="15.75" customHeight="1" x14ac:dyDescent="0.3">
      <c r="H636" s="11"/>
      <c r="J636" s="13"/>
    </row>
    <row r="637" spans="8:10" ht="15.75" customHeight="1" x14ac:dyDescent="0.3">
      <c r="H637" s="11"/>
      <c r="J637" s="13"/>
    </row>
    <row r="638" spans="8:10" ht="15.75" customHeight="1" x14ac:dyDescent="0.3">
      <c r="H638" s="11"/>
      <c r="J638" s="13"/>
    </row>
    <row r="639" spans="8:10" ht="15.75" customHeight="1" x14ac:dyDescent="0.3">
      <c r="H639" s="11"/>
      <c r="J639" s="13"/>
    </row>
    <row r="640" spans="8:10" ht="15.75" customHeight="1" x14ac:dyDescent="0.3">
      <c r="H640" s="11"/>
      <c r="J640" s="13"/>
    </row>
    <row r="641" spans="8:10" ht="15.75" customHeight="1" x14ac:dyDescent="0.3">
      <c r="H641" s="11"/>
      <c r="J641" s="13"/>
    </row>
    <row r="642" spans="8:10" ht="15.75" customHeight="1" x14ac:dyDescent="0.3">
      <c r="H642" s="11"/>
      <c r="J642" s="13"/>
    </row>
    <row r="643" spans="8:10" ht="15.75" customHeight="1" x14ac:dyDescent="0.3">
      <c r="H643" s="11"/>
      <c r="J643" s="13"/>
    </row>
    <row r="644" spans="8:10" ht="15.75" customHeight="1" x14ac:dyDescent="0.3">
      <c r="H644" s="11"/>
      <c r="J644" s="13"/>
    </row>
    <row r="645" spans="8:10" ht="15.75" customHeight="1" x14ac:dyDescent="0.3">
      <c r="H645" s="11"/>
      <c r="J645" s="13"/>
    </row>
    <row r="646" spans="8:10" ht="15.75" customHeight="1" x14ac:dyDescent="0.3">
      <c r="H646" s="11"/>
      <c r="J646" s="13"/>
    </row>
    <row r="647" spans="8:10" ht="15.75" customHeight="1" x14ac:dyDescent="0.3">
      <c r="H647" s="11"/>
      <c r="J647" s="13"/>
    </row>
    <row r="648" spans="8:10" ht="15.75" customHeight="1" x14ac:dyDescent="0.3">
      <c r="H648" s="11"/>
      <c r="J648" s="13"/>
    </row>
    <row r="649" spans="8:10" ht="15.75" customHeight="1" x14ac:dyDescent="0.3">
      <c r="H649" s="11"/>
      <c r="J649" s="13"/>
    </row>
    <row r="650" spans="8:10" ht="15.75" customHeight="1" x14ac:dyDescent="0.3">
      <c r="H650" s="11"/>
      <c r="J650" s="13"/>
    </row>
    <row r="651" spans="8:10" ht="15.75" customHeight="1" x14ac:dyDescent="0.3">
      <c r="H651" s="11"/>
      <c r="J651" s="13"/>
    </row>
    <row r="652" spans="8:10" ht="15.75" customHeight="1" x14ac:dyDescent="0.3">
      <c r="H652" s="11"/>
      <c r="J652" s="13"/>
    </row>
    <row r="653" spans="8:10" ht="15.75" customHeight="1" x14ac:dyDescent="0.3">
      <c r="H653" s="11"/>
      <c r="J653" s="13"/>
    </row>
    <row r="654" spans="8:10" ht="15.75" customHeight="1" x14ac:dyDescent="0.3">
      <c r="H654" s="11"/>
      <c r="J654" s="13"/>
    </row>
    <row r="655" spans="8:10" ht="15.75" customHeight="1" x14ac:dyDescent="0.3">
      <c r="H655" s="11"/>
      <c r="J655" s="13"/>
    </row>
    <row r="656" spans="8:10" ht="15.75" customHeight="1" x14ac:dyDescent="0.3">
      <c r="H656" s="11"/>
      <c r="J656" s="13"/>
    </row>
    <row r="657" spans="8:10" ht="15.75" customHeight="1" x14ac:dyDescent="0.3">
      <c r="H657" s="11"/>
      <c r="J657" s="13"/>
    </row>
    <row r="658" spans="8:10" ht="15.75" customHeight="1" x14ac:dyDescent="0.3">
      <c r="H658" s="11"/>
      <c r="J658" s="13"/>
    </row>
    <row r="659" spans="8:10" ht="15.75" customHeight="1" x14ac:dyDescent="0.3">
      <c r="H659" s="11"/>
      <c r="J659" s="13"/>
    </row>
    <row r="660" spans="8:10" ht="15.75" customHeight="1" x14ac:dyDescent="0.3">
      <c r="H660" s="11"/>
      <c r="J660" s="13"/>
    </row>
    <row r="661" spans="8:10" ht="15.75" customHeight="1" x14ac:dyDescent="0.3">
      <c r="H661" s="11"/>
      <c r="J661" s="13"/>
    </row>
    <row r="662" spans="8:10" ht="15.75" customHeight="1" x14ac:dyDescent="0.3">
      <c r="H662" s="11"/>
      <c r="J662" s="13"/>
    </row>
    <row r="663" spans="8:10" ht="15.75" customHeight="1" x14ac:dyDescent="0.3">
      <c r="H663" s="11"/>
      <c r="J663" s="13"/>
    </row>
    <row r="664" spans="8:10" ht="15.75" customHeight="1" x14ac:dyDescent="0.3">
      <c r="H664" s="11"/>
      <c r="J664" s="13"/>
    </row>
    <row r="665" spans="8:10" ht="15.75" customHeight="1" x14ac:dyDescent="0.3">
      <c r="H665" s="11"/>
      <c r="J665" s="13"/>
    </row>
    <row r="666" spans="8:10" ht="15.75" customHeight="1" x14ac:dyDescent="0.3">
      <c r="H666" s="11"/>
      <c r="J666" s="13"/>
    </row>
    <row r="667" spans="8:10" ht="15.75" customHeight="1" x14ac:dyDescent="0.3">
      <c r="H667" s="11"/>
      <c r="J667" s="13"/>
    </row>
    <row r="668" spans="8:10" ht="15.75" customHeight="1" x14ac:dyDescent="0.3">
      <c r="H668" s="11"/>
      <c r="J668" s="13"/>
    </row>
    <row r="669" spans="8:10" ht="15.75" customHeight="1" x14ac:dyDescent="0.3">
      <c r="H669" s="11"/>
      <c r="J669" s="13"/>
    </row>
    <row r="670" spans="8:10" ht="15.75" customHeight="1" x14ac:dyDescent="0.3">
      <c r="H670" s="11"/>
      <c r="J670" s="13"/>
    </row>
    <row r="671" spans="8:10" ht="15.75" customHeight="1" x14ac:dyDescent="0.3">
      <c r="H671" s="11"/>
      <c r="J671" s="13"/>
    </row>
    <row r="672" spans="8:10" ht="15.75" customHeight="1" x14ac:dyDescent="0.3">
      <c r="H672" s="11"/>
      <c r="J672" s="13"/>
    </row>
    <row r="673" spans="8:10" ht="15.75" customHeight="1" x14ac:dyDescent="0.3">
      <c r="H673" s="11"/>
      <c r="J673" s="13"/>
    </row>
    <row r="674" spans="8:10" ht="15.75" customHeight="1" x14ac:dyDescent="0.3">
      <c r="H674" s="11"/>
      <c r="J674" s="13"/>
    </row>
    <row r="675" spans="8:10" ht="15.75" customHeight="1" x14ac:dyDescent="0.3">
      <c r="H675" s="11"/>
      <c r="J675" s="13"/>
    </row>
    <row r="676" spans="8:10" ht="15.75" customHeight="1" x14ac:dyDescent="0.3">
      <c r="H676" s="11"/>
      <c r="J676" s="13"/>
    </row>
    <row r="677" spans="8:10" ht="15.75" customHeight="1" x14ac:dyDescent="0.3">
      <c r="H677" s="11"/>
      <c r="J677" s="13"/>
    </row>
    <row r="678" spans="8:10" ht="15.75" customHeight="1" x14ac:dyDescent="0.3">
      <c r="H678" s="11"/>
      <c r="J678" s="13"/>
    </row>
    <row r="679" spans="8:10" ht="15.75" customHeight="1" x14ac:dyDescent="0.3">
      <c r="H679" s="11"/>
      <c r="J679" s="13"/>
    </row>
    <row r="680" spans="8:10" ht="15.75" customHeight="1" x14ac:dyDescent="0.3">
      <c r="H680" s="11"/>
      <c r="J680" s="13"/>
    </row>
    <row r="681" spans="8:10" ht="15.75" customHeight="1" x14ac:dyDescent="0.3">
      <c r="H681" s="11"/>
      <c r="J681" s="13"/>
    </row>
    <row r="682" spans="8:10" ht="15.75" customHeight="1" x14ac:dyDescent="0.3">
      <c r="H682" s="11"/>
      <c r="J682" s="13"/>
    </row>
    <row r="683" spans="8:10" ht="15.75" customHeight="1" x14ac:dyDescent="0.3">
      <c r="H683" s="11"/>
      <c r="J683" s="13"/>
    </row>
    <row r="684" spans="8:10" ht="15.75" customHeight="1" x14ac:dyDescent="0.3">
      <c r="H684" s="11"/>
      <c r="J684" s="13"/>
    </row>
    <row r="685" spans="8:10" ht="15.75" customHeight="1" x14ac:dyDescent="0.3">
      <c r="H685" s="11"/>
      <c r="J685" s="13"/>
    </row>
    <row r="686" spans="8:10" ht="15.75" customHeight="1" x14ac:dyDescent="0.3">
      <c r="H686" s="11"/>
      <c r="J686" s="13"/>
    </row>
    <row r="687" spans="8:10" ht="15.75" customHeight="1" x14ac:dyDescent="0.3">
      <c r="H687" s="11"/>
      <c r="J687" s="13"/>
    </row>
    <row r="688" spans="8:10" ht="15.75" customHeight="1" x14ac:dyDescent="0.3">
      <c r="H688" s="11"/>
      <c r="J688" s="13"/>
    </row>
    <row r="689" spans="8:10" ht="15.75" customHeight="1" x14ac:dyDescent="0.3">
      <c r="H689" s="11"/>
      <c r="J689" s="13"/>
    </row>
    <row r="690" spans="8:10" ht="15.75" customHeight="1" x14ac:dyDescent="0.3">
      <c r="H690" s="11"/>
      <c r="J690" s="13"/>
    </row>
    <row r="691" spans="8:10" ht="15.75" customHeight="1" x14ac:dyDescent="0.3">
      <c r="H691" s="11"/>
      <c r="J691" s="13"/>
    </row>
    <row r="692" spans="8:10" ht="15.75" customHeight="1" x14ac:dyDescent="0.3">
      <c r="H692" s="11"/>
      <c r="J692" s="13"/>
    </row>
    <row r="693" spans="8:10" ht="15.75" customHeight="1" x14ac:dyDescent="0.3">
      <c r="H693" s="11"/>
      <c r="J693" s="13"/>
    </row>
    <row r="694" spans="8:10" ht="15.75" customHeight="1" x14ac:dyDescent="0.3">
      <c r="H694" s="11"/>
      <c r="J694" s="13"/>
    </row>
    <row r="695" spans="8:10" ht="15.75" customHeight="1" x14ac:dyDescent="0.3">
      <c r="H695" s="11"/>
      <c r="J695" s="13"/>
    </row>
    <row r="696" spans="8:10" ht="15.75" customHeight="1" x14ac:dyDescent="0.3">
      <c r="H696" s="11"/>
      <c r="J696" s="13"/>
    </row>
    <row r="697" spans="8:10" ht="15.75" customHeight="1" x14ac:dyDescent="0.3">
      <c r="H697" s="11"/>
      <c r="J697" s="13"/>
    </row>
    <row r="698" spans="8:10" ht="15.75" customHeight="1" x14ac:dyDescent="0.3">
      <c r="H698" s="11"/>
      <c r="J698" s="13"/>
    </row>
    <row r="699" spans="8:10" ht="15.75" customHeight="1" x14ac:dyDescent="0.3">
      <c r="H699" s="11"/>
      <c r="J699" s="13"/>
    </row>
    <row r="700" spans="8:10" ht="15.75" customHeight="1" x14ac:dyDescent="0.3">
      <c r="H700" s="11"/>
      <c r="J700" s="13"/>
    </row>
    <row r="701" spans="8:10" ht="15.75" customHeight="1" x14ac:dyDescent="0.3">
      <c r="H701" s="11"/>
      <c r="J701" s="13"/>
    </row>
    <row r="702" spans="8:10" ht="15.75" customHeight="1" x14ac:dyDescent="0.3">
      <c r="H702" s="11"/>
      <c r="J702" s="13"/>
    </row>
    <row r="703" spans="8:10" ht="15.75" customHeight="1" x14ac:dyDescent="0.3">
      <c r="H703" s="11"/>
      <c r="J703" s="13"/>
    </row>
    <row r="704" spans="8:10" ht="15.75" customHeight="1" x14ac:dyDescent="0.3">
      <c r="H704" s="11"/>
      <c r="J704" s="13"/>
    </row>
    <row r="705" spans="8:10" ht="15.75" customHeight="1" x14ac:dyDescent="0.3">
      <c r="H705" s="11"/>
      <c r="J705" s="13"/>
    </row>
    <row r="706" spans="8:10" ht="15.75" customHeight="1" x14ac:dyDescent="0.3">
      <c r="H706" s="11"/>
      <c r="J706" s="13"/>
    </row>
    <row r="707" spans="8:10" ht="15.75" customHeight="1" x14ac:dyDescent="0.3">
      <c r="H707" s="11"/>
      <c r="J707" s="13"/>
    </row>
    <row r="708" spans="8:10" ht="15.75" customHeight="1" x14ac:dyDescent="0.3">
      <c r="H708" s="11"/>
      <c r="J708" s="13"/>
    </row>
    <row r="709" spans="8:10" ht="15.75" customHeight="1" x14ac:dyDescent="0.3">
      <c r="H709" s="11"/>
      <c r="J709" s="13"/>
    </row>
    <row r="710" spans="8:10" ht="15.75" customHeight="1" x14ac:dyDescent="0.3">
      <c r="H710" s="11"/>
      <c r="J710" s="13"/>
    </row>
    <row r="711" spans="8:10" ht="15.75" customHeight="1" x14ac:dyDescent="0.3">
      <c r="H711" s="11"/>
      <c r="J711" s="13"/>
    </row>
    <row r="712" spans="8:10" ht="15.75" customHeight="1" x14ac:dyDescent="0.3">
      <c r="H712" s="11"/>
      <c r="J712" s="13"/>
    </row>
    <row r="713" spans="8:10" ht="15.75" customHeight="1" x14ac:dyDescent="0.3">
      <c r="H713" s="11"/>
      <c r="J713" s="13"/>
    </row>
    <row r="714" spans="8:10" ht="15.75" customHeight="1" x14ac:dyDescent="0.3">
      <c r="H714" s="11"/>
      <c r="J714" s="13"/>
    </row>
    <row r="715" spans="8:10" ht="15.75" customHeight="1" x14ac:dyDescent="0.3">
      <c r="H715" s="11"/>
      <c r="J715" s="13"/>
    </row>
    <row r="716" spans="8:10" ht="15.75" customHeight="1" x14ac:dyDescent="0.3">
      <c r="H716" s="11"/>
      <c r="J716" s="13"/>
    </row>
    <row r="717" spans="8:10" ht="15.75" customHeight="1" x14ac:dyDescent="0.3">
      <c r="H717" s="11"/>
      <c r="J717" s="13"/>
    </row>
    <row r="718" spans="8:10" ht="15.75" customHeight="1" x14ac:dyDescent="0.3">
      <c r="H718" s="11"/>
      <c r="J718" s="13"/>
    </row>
    <row r="719" spans="8:10" ht="15.75" customHeight="1" x14ac:dyDescent="0.3">
      <c r="H719" s="11"/>
      <c r="J719" s="13"/>
    </row>
    <row r="720" spans="8:10" ht="15.75" customHeight="1" x14ac:dyDescent="0.3">
      <c r="H720" s="11"/>
      <c r="J720" s="13"/>
    </row>
    <row r="721" spans="8:10" ht="15.75" customHeight="1" x14ac:dyDescent="0.3">
      <c r="H721" s="11"/>
      <c r="J721" s="13"/>
    </row>
    <row r="722" spans="8:10" ht="15.75" customHeight="1" x14ac:dyDescent="0.3">
      <c r="H722" s="11"/>
      <c r="J722" s="13"/>
    </row>
    <row r="723" spans="8:10" ht="15.75" customHeight="1" x14ac:dyDescent="0.3">
      <c r="H723" s="11"/>
      <c r="J723" s="13"/>
    </row>
    <row r="724" spans="8:10" ht="15.75" customHeight="1" x14ac:dyDescent="0.3">
      <c r="H724" s="11"/>
      <c r="J724" s="13"/>
    </row>
    <row r="725" spans="8:10" ht="15.75" customHeight="1" x14ac:dyDescent="0.3">
      <c r="H725" s="11"/>
      <c r="J725" s="13"/>
    </row>
    <row r="726" spans="8:10" ht="15.75" customHeight="1" x14ac:dyDescent="0.3">
      <c r="H726" s="11"/>
      <c r="J726" s="13"/>
    </row>
    <row r="727" spans="8:10" ht="15.75" customHeight="1" x14ac:dyDescent="0.3">
      <c r="H727" s="11"/>
      <c r="J727" s="13"/>
    </row>
    <row r="728" spans="8:10" ht="15.75" customHeight="1" x14ac:dyDescent="0.3">
      <c r="H728" s="11"/>
      <c r="J728" s="13"/>
    </row>
    <row r="729" spans="8:10" ht="15.75" customHeight="1" x14ac:dyDescent="0.3">
      <c r="H729" s="11"/>
      <c r="J729" s="13"/>
    </row>
    <row r="730" spans="8:10" ht="15.75" customHeight="1" x14ac:dyDescent="0.3">
      <c r="H730" s="11"/>
      <c r="J730" s="13"/>
    </row>
    <row r="731" spans="8:10" ht="15.75" customHeight="1" x14ac:dyDescent="0.3">
      <c r="H731" s="11"/>
      <c r="J731" s="13"/>
    </row>
    <row r="732" spans="8:10" ht="15.75" customHeight="1" x14ac:dyDescent="0.3">
      <c r="H732" s="11"/>
      <c r="J732" s="13"/>
    </row>
    <row r="733" spans="8:10" ht="15.75" customHeight="1" x14ac:dyDescent="0.3">
      <c r="H733" s="11"/>
      <c r="J733" s="13"/>
    </row>
    <row r="734" spans="8:10" ht="15.75" customHeight="1" x14ac:dyDescent="0.3">
      <c r="H734" s="11"/>
      <c r="J734" s="13"/>
    </row>
    <row r="735" spans="8:10" ht="15.75" customHeight="1" x14ac:dyDescent="0.3">
      <c r="H735" s="11"/>
      <c r="J735" s="13"/>
    </row>
    <row r="736" spans="8:10" ht="15.75" customHeight="1" x14ac:dyDescent="0.3">
      <c r="H736" s="11"/>
      <c r="J736" s="13"/>
    </row>
    <row r="737" spans="8:10" ht="15.75" customHeight="1" x14ac:dyDescent="0.3">
      <c r="H737" s="11"/>
      <c r="J737" s="13"/>
    </row>
    <row r="738" spans="8:10" ht="15.75" customHeight="1" x14ac:dyDescent="0.3">
      <c r="H738" s="11"/>
      <c r="J738" s="13"/>
    </row>
    <row r="739" spans="8:10" ht="15.75" customHeight="1" x14ac:dyDescent="0.3">
      <c r="H739" s="11"/>
      <c r="J739" s="13"/>
    </row>
    <row r="740" spans="8:10" ht="15.75" customHeight="1" x14ac:dyDescent="0.3">
      <c r="H740" s="11"/>
      <c r="J740" s="13"/>
    </row>
    <row r="741" spans="8:10" ht="15.75" customHeight="1" x14ac:dyDescent="0.3">
      <c r="H741" s="11"/>
      <c r="J741" s="13"/>
    </row>
    <row r="742" spans="8:10" ht="15.75" customHeight="1" x14ac:dyDescent="0.3">
      <c r="H742" s="11"/>
      <c r="J742" s="13"/>
    </row>
    <row r="743" spans="8:10" ht="15.75" customHeight="1" x14ac:dyDescent="0.3">
      <c r="H743" s="11"/>
      <c r="J743" s="13"/>
    </row>
    <row r="744" spans="8:10" ht="15.75" customHeight="1" x14ac:dyDescent="0.3">
      <c r="H744" s="11"/>
      <c r="J744" s="13"/>
    </row>
    <row r="745" spans="8:10" ht="15.75" customHeight="1" x14ac:dyDescent="0.3">
      <c r="H745" s="11"/>
      <c r="J745" s="13"/>
    </row>
    <row r="746" spans="8:10" ht="15.75" customHeight="1" x14ac:dyDescent="0.3">
      <c r="H746" s="11"/>
      <c r="J746" s="13"/>
    </row>
    <row r="747" spans="8:10" ht="15.75" customHeight="1" x14ac:dyDescent="0.3">
      <c r="H747" s="11"/>
      <c r="J747" s="13"/>
    </row>
    <row r="748" spans="8:10" ht="15.75" customHeight="1" x14ac:dyDescent="0.3">
      <c r="H748" s="11"/>
      <c r="J748" s="13"/>
    </row>
    <row r="749" spans="8:10" ht="15.75" customHeight="1" x14ac:dyDescent="0.3">
      <c r="H749" s="11"/>
      <c r="J749" s="13"/>
    </row>
    <row r="750" spans="8:10" ht="15.75" customHeight="1" x14ac:dyDescent="0.3">
      <c r="H750" s="11"/>
      <c r="J750" s="13"/>
    </row>
    <row r="751" spans="8:10" ht="15.75" customHeight="1" x14ac:dyDescent="0.3">
      <c r="H751" s="11"/>
      <c r="J751" s="13"/>
    </row>
    <row r="752" spans="8:10" ht="15.75" customHeight="1" x14ac:dyDescent="0.3">
      <c r="H752" s="11"/>
      <c r="J752" s="13"/>
    </row>
    <row r="753" spans="8:10" ht="15.75" customHeight="1" x14ac:dyDescent="0.3">
      <c r="H753" s="11"/>
      <c r="J753" s="13"/>
    </row>
    <row r="754" spans="8:10" ht="15.75" customHeight="1" x14ac:dyDescent="0.3">
      <c r="H754" s="11"/>
      <c r="J754" s="13"/>
    </row>
    <row r="755" spans="8:10" ht="15.75" customHeight="1" x14ac:dyDescent="0.3">
      <c r="H755" s="11"/>
      <c r="J755" s="13"/>
    </row>
    <row r="756" spans="8:10" ht="15.75" customHeight="1" x14ac:dyDescent="0.3">
      <c r="H756" s="11"/>
      <c r="J756" s="13"/>
    </row>
    <row r="757" spans="8:10" ht="15.75" customHeight="1" x14ac:dyDescent="0.3">
      <c r="H757" s="11"/>
      <c r="J757" s="13"/>
    </row>
    <row r="758" spans="8:10" ht="15.75" customHeight="1" x14ac:dyDescent="0.3">
      <c r="H758" s="11"/>
      <c r="J758" s="13"/>
    </row>
    <row r="759" spans="8:10" ht="15.75" customHeight="1" x14ac:dyDescent="0.3">
      <c r="H759" s="11"/>
      <c r="J759" s="13"/>
    </row>
    <row r="760" spans="8:10" ht="15.75" customHeight="1" x14ac:dyDescent="0.3">
      <c r="H760" s="11"/>
      <c r="J760" s="13"/>
    </row>
    <row r="761" spans="8:10" ht="15.75" customHeight="1" x14ac:dyDescent="0.3">
      <c r="H761" s="11"/>
      <c r="J761" s="13"/>
    </row>
    <row r="762" spans="8:10" ht="15.75" customHeight="1" x14ac:dyDescent="0.3">
      <c r="H762" s="11"/>
      <c r="J762" s="13"/>
    </row>
    <row r="763" spans="8:10" ht="15.75" customHeight="1" x14ac:dyDescent="0.3">
      <c r="H763" s="11"/>
      <c r="J763" s="13"/>
    </row>
    <row r="764" spans="8:10" ht="15.75" customHeight="1" x14ac:dyDescent="0.3">
      <c r="H764" s="11"/>
      <c r="J764" s="13"/>
    </row>
    <row r="765" spans="8:10" ht="15.75" customHeight="1" x14ac:dyDescent="0.3">
      <c r="H765" s="11"/>
      <c r="J765" s="13"/>
    </row>
    <row r="766" spans="8:10" ht="15.75" customHeight="1" x14ac:dyDescent="0.3">
      <c r="H766" s="11"/>
      <c r="J766" s="13"/>
    </row>
    <row r="767" spans="8:10" ht="15.75" customHeight="1" x14ac:dyDescent="0.3">
      <c r="H767" s="11"/>
      <c r="J767" s="13"/>
    </row>
    <row r="768" spans="8:10" ht="15.75" customHeight="1" x14ac:dyDescent="0.3">
      <c r="H768" s="11"/>
      <c r="J768" s="13"/>
    </row>
    <row r="769" spans="8:10" ht="15.75" customHeight="1" x14ac:dyDescent="0.3">
      <c r="H769" s="11"/>
      <c r="J769" s="13"/>
    </row>
    <row r="770" spans="8:10" ht="15.75" customHeight="1" x14ac:dyDescent="0.3">
      <c r="H770" s="11"/>
      <c r="J770" s="13"/>
    </row>
    <row r="771" spans="8:10" ht="15.75" customHeight="1" x14ac:dyDescent="0.3">
      <c r="H771" s="11"/>
      <c r="J771" s="13"/>
    </row>
    <row r="772" spans="8:10" ht="15.75" customHeight="1" x14ac:dyDescent="0.3">
      <c r="H772" s="11"/>
      <c r="J772" s="13"/>
    </row>
    <row r="773" spans="8:10" ht="15.75" customHeight="1" x14ac:dyDescent="0.3">
      <c r="H773" s="11"/>
      <c r="J773" s="13"/>
    </row>
    <row r="774" spans="8:10" ht="15.75" customHeight="1" x14ac:dyDescent="0.3">
      <c r="H774" s="11"/>
      <c r="J774" s="13"/>
    </row>
    <row r="775" spans="8:10" ht="15.75" customHeight="1" x14ac:dyDescent="0.3">
      <c r="H775" s="11"/>
      <c r="J775" s="13"/>
    </row>
    <row r="776" spans="8:10" ht="15.75" customHeight="1" x14ac:dyDescent="0.3">
      <c r="H776" s="11"/>
      <c r="J776" s="13"/>
    </row>
    <row r="777" spans="8:10" ht="15.75" customHeight="1" x14ac:dyDescent="0.3">
      <c r="H777" s="11"/>
      <c r="J777" s="13"/>
    </row>
    <row r="778" spans="8:10" ht="15.75" customHeight="1" x14ac:dyDescent="0.3">
      <c r="H778" s="11"/>
      <c r="J778" s="13"/>
    </row>
    <row r="779" spans="8:10" ht="15.75" customHeight="1" x14ac:dyDescent="0.3">
      <c r="H779" s="11"/>
      <c r="J779" s="13"/>
    </row>
    <row r="780" spans="8:10" ht="15.75" customHeight="1" x14ac:dyDescent="0.3">
      <c r="H780" s="11"/>
      <c r="J780" s="13"/>
    </row>
    <row r="781" spans="8:10" ht="15.75" customHeight="1" x14ac:dyDescent="0.3">
      <c r="H781" s="11"/>
      <c r="J781" s="13"/>
    </row>
    <row r="782" spans="8:10" ht="15.75" customHeight="1" x14ac:dyDescent="0.3">
      <c r="H782" s="11"/>
      <c r="J782" s="13"/>
    </row>
    <row r="783" spans="8:10" ht="15.75" customHeight="1" x14ac:dyDescent="0.3">
      <c r="H783" s="11"/>
      <c r="J783" s="13"/>
    </row>
    <row r="784" spans="8:10" ht="15.75" customHeight="1" x14ac:dyDescent="0.3">
      <c r="H784" s="11"/>
      <c r="J784" s="13"/>
    </row>
    <row r="785" spans="8:10" ht="15.75" customHeight="1" x14ac:dyDescent="0.3">
      <c r="H785" s="11"/>
      <c r="J785" s="13"/>
    </row>
    <row r="786" spans="8:10" ht="15.75" customHeight="1" x14ac:dyDescent="0.3">
      <c r="H786" s="11"/>
      <c r="J786" s="13"/>
    </row>
    <row r="787" spans="8:10" ht="15.75" customHeight="1" x14ac:dyDescent="0.3">
      <c r="H787" s="11"/>
      <c r="J787" s="13"/>
    </row>
    <row r="788" spans="8:10" ht="15.75" customHeight="1" x14ac:dyDescent="0.3">
      <c r="H788" s="11"/>
      <c r="J788" s="13"/>
    </row>
    <row r="789" spans="8:10" ht="15.75" customHeight="1" x14ac:dyDescent="0.3">
      <c r="H789" s="11"/>
      <c r="J789" s="13"/>
    </row>
    <row r="790" spans="8:10" ht="15.75" customHeight="1" x14ac:dyDescent="0.3">
      <c r="H790" s="11"/>
      <c r="J790" s="13"/>
    </row>
    <row r="791" spans="8:10" ht="15.75" customHeight="1" x14ac:dyDescent="0.3">
      <c r="H791" s="11"/>
      <c r="J791" s="13"/>
    </row>
    <row r="792" spans="8:10" ht="15.75" customHeight="1" x14ac:dyDescent="0.3">
      <c r="H792" s="11"/>
      <c r="J792" s="13"/>
    </row>
    <row r="793" spans="8:10" ht="15.75" customHeight="1" x14ac:dyDescent="0.3">
      <c r="H793" s="11"/>
      <c r="J793" s="13"/>
    </row>
    <row r="794" spans="8:10" ht="15.75" customHeight="1" x14ac:dyDescent="0.3">
      <c r="H794" s="11"/>
      <c r="J794" s="13"/>
    </row>
    <row r="795" spans="8:10" ht="15.75" customHeight="1" x14ac:dyDescent="0.3">
      <c r="H795" s="11"/>
      <c r="J795" s="13"/>
    </row>
    <row r="796" spans="8:10" ht="15.75" customHeight="1" x14ac:dyDescent="0.3">
      <c r="H796" s="11"/>
      <c r="J796" s="13"/>
    </row>
    <row r="797" spans="8:10" ht="15.75" customHeight="1" x14ac:dyDescent="0.3">
      <c r="H797" s="11"/>
      <c r="J797" s="13"/>
    </row>
    <row r="798" spans="8:10" ht="15.75" customHeight="1" x14ac:dyDescent="0.3">
      <c r="H798" s="11"/>
      <c r="J798" s="13"/>
    </row>
    <row r="799" spans="8:10" ht="15.75" customHeight="1" x14ac:dyDescent="0.3">
      <c r="H799" s="11"/>
      <c r="J799" s="13"/>
    </row>
    <row r="800" spans="8:10" ht="15.75" customHeight="1" x14ac:dyDescent="0.3">
      <c r="H800" s="11"/>
      <c r="J800" s="13"/>
    </row>
    <row r="801" spans="8:10" ht="15.75" customHeight="1" x14ac:dyDescent="0.3">
      <c r="H801" s="11"/>
      <c r="J801" s="13"/>
    </row>
    <row r="802" spans="8:10" ht="15.75" customHeight="1" x14ac:dyDescent="0.3">
      <c r="H802" s="11"/>
      <c r="J802" s="13"/>
    </row>
    <row r="803" spans="8:10" ht="15.75" customHeight="1" x14ac:dyDescent="0.3">
      <c r="H803" s="11"/>
      <c r="J803" s="13"/>
    </row>
    <row r="804" spans="8:10" ht="15.75" customHeight="1" x14ac:dyDescent="0.3">
      <c r="H804" s="11"/>
      <c r="J804" s="13"/>
    </row>
    <row r="805" spans="8:10" ht="15.75" customHeight="1" x14ac:dyDescent="0.3">
      <c r="H805" s="11"/>
      <c r="J805" s="13"/>
    </row>
    <row r="806" spans="8:10" ht="15.75" customHeight="1" x14ac:dyDescent="0.3">
      <c r="H806" s="11"/>
      <c r="J806" s="13"/>
    </row>
    <row r="807" spans="8:10" ht="15.75" customHeight="1" x14ac:dyDescent="0.3">
      <c r="H807" s="11"/>
      <c r="J807" s="13"/>
    </row>
    <row r="808" spans="8:10" ht="15.75" customHeight="1" x14ac:dyDescent="0.3">
      <c r="H808" s="11"/>
      <c r="J808" s="13"/>
    </row>
    <row r="809" spans="8:10" ht="15.75" customHeight="1" x14ac:dyDescent="0.3">
      <c r="H809" s="11"/>
      <c r="J809" s="13"/>
    </row>
    <row r="810" spans="8:10" ht="15.75" customHeight="1" x14ac:dyDescent="0.3">
      <c r="H810" s="11"/>
      <c r="J810" s="13"/>
    </row>
    <row r="811" spans="8:10" ht="15.75" customHeight="1" x14ac:dyDescent="0.3">
      <c r="H811" s="11"/>
      <c r="J811" s="13"/>
    </row>
    <row r="812" spans="8:10" ht="15.75" customHeight="1" x14ac:dyDescent="0.3">
      <c r="H812" s="11"/>
      <c r="J812" s="13"/>
    </row>
    <row r="813" spans="8:10" ht="15.75" customHeight="1" x14ac:dyDescent="0.3">
      <c r="H813" s="11"/>
      <c r="J813" s="13"/>
    </row>
    <row r="814" spans="8:10" ht="15.75" customHeight="1" x14ac:dyDescent="0.3">
      <c r="H814" s="11"/>
      <c r="J814" s="13"/>
    </row>
    <row r="815" spans="8:10" ht="15.75" customHeight="1" x14ac:dyDescent="0.3">
      <c r="H815" s="11"/>
      <c r="J815" s="13"/>
    </row>
    <row r="816" spans="8:10" ht="15.75" customHeight="1" x14ac:dyDescent="0.3">
      <c r="H816" s="11"/>
      <c r="J816" s="13"/>
    </row>
    <row r="817" spans="8:10" ht="15.75" customHeight="1" x14ac:dyDescent="0.3">
      <c r="H817" s="11"/>
      <c r="J817" s="13"/>
    </row>
    <row r="818" spans="8:10" ht="15.75" customHeight="1" x14ac:dyDescent="0.3">
      <c r="H818" s="11"/>
      <c r="J818" s="13"/>
    </row>
    <row r="819" spans="8:10" ht="15.75" customHeight="1" x14ac:dyDescent="0.3">
      <c r="H819" s="11"/>
      <c r="J819" s="13"/>
    </row>
    <row r="820" spans="8:10" ht="15.75" customHeight="1" x14ac:dyDescent="0.3">
      <c r="H820" s="11"/>
      <c r="J820" s="13"/>
    </row>
    <row r="821" spans="8:10" ht="15.75" customHeight="1" x14ac:dyDescent="0.3">
      <c r="H821" s="11"/>
      <c r="J821" s="13"/>
    </row>
    <row r="822" spans="8:10" ht="15.75" customHeight="1" x14ac:dyDescent="0.3">
      <c r="H822" s="11"/>
      <c r="J822" s="13"/>
    </row>
    <row r="823" spans="8:10" ht="15.75" customHeight="1" x14ac:dyDescent="0.3">
      <c r="H823" s="11"/>
      <c r="J823" s="13"/>
    </row>
    <row r="824" spans="8:10" ht="15.75" customHeight="1" x14ac:dyDescent="0.3">
      <c r="H824" s="11"/>
      <c r="J824" s="13"/>
    </row>
    <row r="825" spans="8:10" ht="15.75" customHeight="1" x14ac:dyDescent="0.3">
      <c r="H825" s="11"/>
      <c r="J825" s="13"/>
    </row>
    <row r="826" spans="8:10" ht="15.75" customHeight="1" x14ac:dyDescent="0.3">
      <c r="H826" s="11"/>
      <c r="J826" s="13"/>
    </row>
    <row r="827" spans="8:10" ht="15.75" customHeight="1" x14ac:dyDescent="0.3">
      <c r="H827" s="11"/>
      <c r="J827" s="13"/>
    </row>
    <row r="828" spans="8:10" ht="15.75" customHeight="1" x14ac:dyDescent="0.3">
      <c r="H828" s="11"/>
      <c r="J828" s="13"/>
    </row>
    <row r="829" spans="8:10" ht="15.75" customHeight="1" x14ac:dyDescent="0.3">
      <c r="H829" s="11"/>
      <c r="J829" s="13"/>
    </row>
    <row r="830" spans="8:10" ht="15.75" customHeight="1" x14ac:dyDescent="0.3">
      <c r="H830" s="11"/>
      <c r="J830" s="13"/>
    </row>
    <row r="831" spans="8:10" ht="15.75" customHeight="1" x14ac:dyDescent="0.3">
      <c r="H831" s="11"/>
      <c r="J831" s="13"/>
    </row>
    <row r="832" spans="8:10" ht="15.75" customHeight="1" x14ac:dyDescent="0.3">
      <c r="H832" s="11"/>
      <c r="J832" s="13"/>
    </row>
    <row r="833" spans="8:10" ht="15.75" customHeight="1" x14ac:dyDescent="0.3">
      <c r="H833" s="11"/>
      <c r="J833" s="13"/>
    </row>
    <row r="834" spans="8:10" ht="15.75" customHeight="1" x14ac:dyDescent="0.3">
      <c r="H834" s="11"/>
      <c r="J834" s="13"/>
    </row>
    <row r="835" spans="8:10" ht="15.75" customHeight="1" x14ac:dyDescent="0.3">
      <c r="H835" s="11"/>
      <c r="J835" s="13"/>
    </row>
    <row r="836" spans="8:10" ht="15.75" customHeight="1" x14ac:dyDescent="0.3">
      <c r="H836" s="11"/>
      <c r="J836" s="13"/>
    </row>
    <row r="837" spans="8:10" ht="15.75" customHeight="1" x14ac:dyDescent="0.3">
      <c r="H837" s="11"/>
      <c r="J837" s="13"/>
    </row>
    <row r="838" spans="8:10" ht="15.75" customHeight="1" x14ac:dyDescent="0.3">
      <c r="H838" s="11"/>
      <c r="J838" s="13"/>
    </row>
    <row r="839" spans="8:10" ht="15.75" customHeight="1" x14ac:dyDescent="0.3">
      <c r="H839" s="11"/>
      <c r="J839" s="13"/>
    </row>
    <row r="840" spans="8:10" ht="15.75" customHeight="1" x14ac:dyDescent="0.3">
      <c r="H840" s="11"/>
      <c r="J840" s="13"/>
    </row>
    <row r="841" spans="8:10" ht="15.75" customHeight="1" x14ac:dyDescent="0.3">
      <c r="H841" s="11"/>
      <c r="J841" s="13"/>
    </row>
    <row r="842" spans="8:10" ht="15.75" customHeight="1" x14ac:dyDescent="0.3">
      <c r="H842" s="11"/>
      <c r="J842" s="13"/>
    </row>
    <row r="843" spans="8:10" ht="15.75" customHeight="1" x14ac:dyDescent="0.3">
      <c r="H843" s="11"/>
      <c r="J843" s="13"/>
    </row>
    <row r="844" spans="8:10" ht="15.75" customHeight="1" x14ac:dyDescent="0.3">
      <c r="H844" s="11"/>
      <c r="J844" s="13"/>
    </row>
    <row r="845" spans="8:10" ht="15.75" customHeight="1" x14ac:dyDescent="0.3">
      <c r="H845" s="11"/>
      <c r="J845" s="13"/>
    </row>
    <row r="846" spans="8:10" ht="15.75" customHeight="1" x14ac:dyDescent="0.3">
      <c r="H846" s="11"/>
      <c r="J846" s="13"/>
    </row>
    <row r="847" spans="8:10" ht="15.75" customHeight="1" x14ac:dyDescent="0.3">
      <c r="H847" s="11"/>
      <c r="J847" s="13"/>
    </row>
    <row r="848" spans="8:10" ht="15.75" customHeight="1" x14ac:dyDescent="0.3">
      <c r="H848" s="11"/>
      <c r="J848" s="13"/>
    </row>
    <row r="849" spans="8:10" ht="15.75" customHeight="1" x14ac:dyDescent="0.3">
      <c r="H849" s="11"/>
      <c r="J849" s="13"/>
    </row>
    <row r="850" spans="8:10" ht="15.75" customHeight="1" x14ac:dyDescent="0.3">
      <c r="H850" s="11"/>
      <c r="J850" s="13"/>
    </row>
    <row r="851" spans="8:10" ht="15.75" customHeight="1" x14ac:dyDescent="0.3">
      <c r="H851" s="11"/>
      <c r="J851" s="13"/>
    </row>
    <row r="852" spans="8:10" ht="15.75" customHeight="1" x14ac:dyDescent="0.3">
      <c r="H852" s="11"/>
      <c r="J852" s="13"/>
    </row>
    <row r="853" spans="8:10" ht="15.75" customHeight="1" x14ac:dyDescent="0.3">
      <c r="H853" s="11"/>
      <c r="J853" s="13"/>
    </row>
    <row r="854" spans="8:10" ht="15.75" customHeight="1" x14ac:dyDescent="0.3">
      <c r="H854" s="11"/>
      <c r="J854" s="13"/>
    </row>
    <row r="855" spans="8:10" ht="15.75" customHeight="1" x14ac:dyDescent="0.3">
      <c r="H855" s="11"/>
      <c r="J855" s="13"/>
    </row>
    <row r="856" spans="8:10" ht="15.75" customHeight="1" x14ac:dyDescent="0.3">
      <c r="H856" s="11"/>
      <c r="J856" s="13"/>
    </row>
    <row r="857" spans="8:10" ht="15.75" customHeight="1" x14ac:dyDescent="0.3">
      <c r="H857" s="11"/>
      <c r="J857" s="13"/>
    </row>
    <row r="858" spans="8:10" ht="15.75" customHeight="1" x14ac:dyDescent="0.3">
      <c r="H858" s="11"/>
      <c r="J858" s="13"/>
    </row>
    <row r="859" spans="8:10" ht="15.75" customHeight="1" x14ac:dyDescent="0.3">
      <c r="H859" s="11"/>
      <c r="J859" s="13"/>
    </row>
    <row r="860" spans="8:10" ht="15.75" customHeight="1" x14ac:dyDescent="0.3">
      <c r="H860" s="11"/>
      <c r="J860" s="13"/>
    </row>
    <row r="861" spans="8:10" ht="15.75" customHeight="1" x14ac:dyDescent="0.3">
      <c r="H861" s="11"/>
      <c r="J861" s="13"/>
    </row>
    <row r="862" spans="8:10" ht="15.75" customHeight="1" x14ac:dyDescent="0.3">
      <c r="H862" s="11"/>
      <c r="J862" s="13"/>
    </row>
    <row r="863" spans="8:10" ht="15.75" customHeight="1" x14ac:dyDescent="0.3">
      <c r="H863" s="11"/>
      <c r="J863" s="13"/>
    </row>
    <row r="864" spans="8:10" ht="15.75" customHeight="1" x14ac:dyDescent="0.3">
      <c r="H864" s="11"/>
      <c r="J864" s="13"/>
    </row>
    <row r="865" spans="8:10" ht="15.75" customHeight="1" x14ac:dyDescent="0.3">
      <c r="H865" s="11"/>
      <c r="J865" s="13"/>
    </row>
    <row r="866" spans="8:10" ht="15.75" customHeight="1" x14ac:dyDescent="0.3">
      <c r="H866" s="11"/>
      <c r="J866" s="13"/>
    </row>
    <row r="867" spans="8:10" ht="15.75" customHeight="1" x14ac:dyDescent="0.3">
      <c r="H867" s="11"/>
      <c r="J867" s="13"/>
    </row>
    <row r="868" spans="8:10" ht="15.75" customHeight="1" x14ac:dyDescent="0.3">
      <c r="H868" s="11"/>
      <c r="J868" s="13"/>
    </row>
    <row r="869" spans="8:10" ht="15.75" customHeight="1" x14ac:dyDescent="0.3">
      <c r="H869" s="11"/>
      <c r="J869" s="13"/>
    </row>
    <row r="870" spans="8:10" ht="15.75" customHeight="1" x14ac:dyDescent="0.3">
      <c r="H870" s="11"/>
      <c r="J870" s="13"/>
    </row>
    <row r="871" spans="8:10" ht="15.75" customHeight="1" x14ac:dyDescent="0.3">
      <c r="H871" s="11"/>
      <c r="J871" s="13"/>
    </row>
    <row r="872" spans="8:10" ht="15.75" customHeight="1" x14ac:dyDescent="0.3">
      <c r="H872" s="11"/>
      <c r="J872" s="13"/>
    </row>
    <row r="873" spans="8:10" ht="15.75" customHeight="1" x14ac:dyDescent="0.3">
      <c r="H873" s="11"/>
      <c r="J873" s="13"/>
    </row>
    <row r="874" spans="8:10" ht="15.75" customHeight="1" x14ac:dyDescent="0.3">
      <c r="H874" s="11"/>
      <c r="J874" s="13"/>
    </row>
    <row r="875" spans="8:10" ht="15.75" customHeight="1" x14ac:dyDescent="0.3">
      <c r="H875" s="11"/>
      <c r="J875" s="13"/>
    </row>
    <row r="876" spans="8:10" ht="15.75" customHeight="1" x14ac:dyDescent="0.3">
      <c r="H876" s="11"/>
      <c r="J876" s="13"/>
    </row>
    <row r="877" spans="8:10" ht="15.75" customHeight="1" x14ac:dyDescent="0.3">
      <c r="H877" s="11"/>
      <c r="J877" s="13"/>
    </row>
    <row r="878" spans="8:10" ht="15.75" customHeight="1" x14ac:dyDescent="0.3">
      <c r="H878" s="11"/>
      <c r="J878" s="13"/>
    </row>
    <row r="879" spans="8:10" ht="15.75" customHeight="1" x14ac:dyDescent="0.3">
      <c r="H879" s="11"/>
      <c r="J879" s="13"/>
    </row>
    <row r="880" spans="8:10" ht="15.75" customHeight="1" x14ac:dyDescent="0.3">
      <c r="H880" s="11"/>
      <c r="J880" s="13"/>
    </row>
    <row r="881" spans="8:10" ht="15.75" customHeight="1" x14ac:dyDescent="0.3">
      <c r="H881" s="11"/>
      <c r="J881" s="13"/>
    </row>
    <row r="882" spans="8:10" ht="15.75" customHeight="1" x14ac:dyDescent="0.3">
      <c r="H882" s="11"/>
      <c r="J882" s="13"/>
    </row>
    <row r="883" spans="8:10" ht="15.75" customHeight="1" x14ac:dyDescent="0.3">
      <c r="H883" s="11"/>
      <c r="J883" s="13"/>
    </row>
    <row r="884" spans="8:10" ht="15.75" customHeight="1" x14ac:dyDescent="0.3">
      <c r="H884" s="11"/>
      <c r="J884" s="13"/>
    </row>
    <row r="885" spans="8:10" ht="15.75" customHeight="1" x14ac:dyDescent="0.3">
      <c r="H885" s="11"/>
      <c r="J885" s="13"/>
    </row>
    <row r="886" spans="8:10" ht="15.75" customHeight="1" x14ac:dyDescent="0.3">
      <c r="H886" s="11"/>
      <c r="J886" s="13"/>
    </row>
    <row r="887" spans="8:10" ht="15.75" customHeight="1" x14ac:dyDescent="0.3">
      <c r="H887" s="11"/>
      <c r="J887" s="13"/>
    </row>
    <row r="888" spans="8:10" ht="15.75" customHeight="1" x14ac:dyDescent="0.3">
      <c r="H888" s="11"/>
      <c r="J888" s="13"/>
    </row>
    <row r="889" spans="8:10" ht="15.75" customHeight="1" x14ac:dyDescent="0.3">
      <c r="H889" s="11"/>
      <c r="J889" s="13"/>
    </row>
    <row r="890" spans="8:10" ht="15.75" customHeight="1" x14ac:dyDescent="0.3">
      <c r="H890" s="11"/>
      <c r="J890" s="13"/>
    </row>
    <row r="891" spans="8:10" ht="15.75" customHeight="1" x14ac:dyDescent="0.3">
      <c r="H891" s="11"/>
      <c r="J891" s="13"/>
    </row>
    <row r="892" spans="8:10" ht="15.75" customHeight="1" x14ac:dyDescent="0.3">
      <c r="H892" s="11"/>
      <c r="J892" s="13"/>
    </row>
    <row r="893" spans="8:10" ht="15.75" customHeight="1" x14ac:dyDescent="0.3">
      <c r="H893" s="11"/>
      <c r="J893" s="13"/>
    </row>
    <row r="894" spans="8:10" ht="15.75" customHeight="1" x14ac:dyDescent="0.3">
      <c r="H894" s="11"/>
      <c r="J894" s="13"/>
    </row>
    <row r="895" spans="8:10" ht="15.75" customHeight="1" x14ac:dyDescent="0.3">
      <c r="H895" s="11"/>
      <c r="J895" s="13"/>
    </row>
    <row r="896" spans="8:10" ht="15.75" customHeight="1" x14ac:dyDescent="0.3">
      <c r="H896" s="11"/>
      <c r="J896" s="13"/>
    </row>
    <row r="897" spans="8:10" ht="15.75" customHeight="1" x14ac:dyDescent="0.3">
      <c r="H897" s="11"/>
      <c r="J897" s="13"/>
    </row>
    <row r="898" spans="8:10" ht="15.75" customHeight="1" x14ac:dyDescent="0.3">
      <c r="H898" s="11"/>
      <c r="J898" s="13"/>
    </row>
    <row r="899" spans="8:10" ht="15.75" customHeight="1" x14ac:dyDescent="0.3">
      <c r="H899" s="11"/>
      <c r="J899" s="13"/>
    </row>
    <row r="900" spans="8:10" ht="15.75" customHeight="1" x14ac:dyDescent="0.3">
      <c r="H900" s="11"/>
      <c r="J900" s="13"/>
    </row>
    <row r="901" spans="8:10" ht="15.75" customHeight="1" x14ac:dyDescent="0.3">
      <c r="H901" s="11"/>
      <c r="J901" s="13"/>
    </row>
    <row r="902" spans="8:10" ht="15.75" customHeight="1" x14ac:dyDescent="0.3">
      <c r="H902" s="11"/>
      <c r="J902" s="13"/>
    </row>
    <row r="903" spans="8:10" ht="15.75" customHeight="1" x14ac:dyDescent="0.3">
      <c r="H903" s="11"/>
      <c r="J903" s="13"/>
    </row>
    <row r="904" spans="8:10" ht="15.75" customHeight="1" x14ac:dyDescent="0.3">
      <c r="H904" s="11"/>
      <c r="J904" s="13"/>
    </row>
    <row r="905" spans="8:10" ht="15.75" customHeight="1" x14ac:dyDescent="0.3">
      <c r="H905" s="11"/>
      <c r="J905" s="13"/>
    </row>
    <row r="906" spans="8:10" ht="15.75" customHeight="1" x14ac:dyDescent="0.3">
      <c r="H906" s="11"/>
      <c r="J906" s="13"/>
    </row>
    <row r="907" spans="8:10" ht="15.75" customHeight="1" x14ac:dyDescent="0.3">
      <c r="H907" s="11"/>
      <c r="J907" s="13"/>
    </row>
    <row r="908" spans="8:10" ht="15.75" customHeight="1" x14ac:dyDescent="0.3">
      <c r="H908" s="11"/>
      <c r="J908" s="13"/>
    </row>
    <row r="909" spans="8:10" ht="15.75" customHeight="1" x14ac:dyDescent="0.3">
      <c r="H909" s="11"/>
      <c r="J909" s="13"/>
    </row>
    <row r="910" spans="8:10" ht="15.75" customHeight="1" x14ac:dyDescent="0.3">
      <c r="H910" s="11"/>
      <c r="J910" s="13"/>
    </row>
    <row r="911" spans="8:10" ht="15.75" customHeight="1" x14ac:dyDescent="0.3">
      <c r="H911" s="11"/>
      <c r="J911" s="13"/>
    </row>
    <row r="912" spans="8:10" ht="15.75" customHeight="1" x14ac:dyDescent="0.3">
      <c r="H912" s="11"/>
      <c r="J912" s="13"/>
    </row>
    <row r="913" spans="8:10" ht="15.75" customHeight="1" x14ac:dyDescent="0.3">
      <c r="H913" s="11"/>
      <c r="J913" s="13"/>
    </row>
    <row r="914" spans="8:10" ht="15.75" customHeight="1" x14ac:dyDescent="0.3">
      <c r="H914" s="11"/>
      <c r="J914" s="13"/>
    </row>
    <row r="915" spans="8:10" ht="15.75" customHeight="1" x14ac:dyDescent="0.3">
      <c r="H915" s="11"/>
      <c r="J915" s="13"/>
    </row>
    <row r="916" spans="8:10" ht="15.75" customHeight="1" x14ac:dyDescent="0.3">
      <c r="H916" s="11"/>
      <c r="J916" s="13"/>
    </row>
    <row r="917" spans="8:10" ht="15.75" customHeight="1" x14ac:dyDescent="0.3">
      <c r="H917" s="11"/>
      <c r="J917" s="13"/>
    </row>
    <row r="918" spans="8:10" ht="15.75" customHeight="1" x14ac:dyDescent="0.3">
      <c r="H918" s="11"/>
      <c r="J918" s="13"/>
    </row>
    <row r="919" spans="8:10" ht="15.75" customHeight="1" x14ac:dyDescent="0.3">
      <c r="H919" s="11"/>
      <c r="J919" s="13"/>
    </row>
    <row r="920" spans="8:10" ht="15.75" customHeight="1" x14ac:dyDescent="0.3">
      <c r="H920" s="11"/>
      <c r="J920" s="13"/>
    </row>
    <row r="921" spans="8:10" ht="15.75" customHeight="1" x14ac:dyDescent="0.3">
      <c r="H921" s="11"/>
      <c r="J921" s="13"/>
    </row>
    <row r="922" spans="8:10" ht="15.75" customHeight="1" x14ac:dyDescent="0.3">
      <c r="H922" s="11"/>
      <c r="J922" s="13"/>
    </row>
    <row r="923" spans="8:10" ht="15.75" customHeight="1" x14ac:dyDescent="0.3">
      <c r="H923" s="11"/>
      <c r="J923" s="13"/>
    </row>
    <row r="924" spans="8:10" ht="15.75" customHeight="1" x14ac:dyDescent="0.3">
      <c r="H924" s="11"/>
      <c r="J924" s="13"/>
    </row>
    <row r="925" spans="8:10" ht="15.75" customHeight="1" x14ac:dyDescent="0.3">
      <c r="H925" s="11"/>
      <c r="J925" s="13"/>
    </row>
    <row r="926" spans="8:10" ht="15.75" customHeight="1" x14ac:dyDescent="0.3">
      <c r="H926" s="11"/>
      <c r="J926" s="13"/>
    </row>
    <row r="927" spans="8:10" ht="15.75" customHeight="1" x14ac:dyDescent="0.3">
      <c r="H927" s="11"/>
      <c r="J927" s="13"/>
    </row>
    <row r="928" spans="8:10" ht="15.75" customHeight="1" x14ac:dyDescent="0.3">
      <c r="H928" s="11"/>
      <c r="J928" s="13"/>
    </row>
    <row r="929" spans="8:10" ht="15.75" customHeight="1" x14ac:dyDescent="0.3">
      <c r="H929" s="11"/>
      <c r="J929" s="13"/>
    </row>
    <row r="930" spans="8:10" ht="15.75" customHeight="1" x14ac:dyDescent="0.3">
      <c r="H930" s="11"/>
      <c r="J930" s="13"/>
    </row>
    <row r="931" spans="8:10" ht="15.75" customHeight="1" x14ac:dyDescent="0.3">
      <c r="H931" s="11"/>
      <c r="J931" s="13"/>
    </row>
    <row r="932" spans="8:10" ht="15.75" customHeight="1" x14ac:dyDescent="0.3">
      <c r="H932" s="11"/>
      <c r="J932" s="13"/>
    </row>
    <row r="933" spans="8:10" ht="15.75" customHeight="1" x14ac:dyDescent="0.3">
      <c r="H933" s="11"/>
      <c r="J933" s="13"/>
    </row>
    <row r="934" spans="8:10" ht="15.75" customHeight="1" x14ac:dyDescent="0.3">
      <c r="H934" s="11"/>
      <c r="J934" s="13"/>
    </row>
    <row r="935" spans="8:10" ht="15.75" customHeight="1" x14ac:dyDescent="0.3">
      <c r="H935" s="11"/>
      <c r="J935" s="13"/>
    </row>
    <row r="936" spans="8:10" ht="15.75" customHeight="1" x14ac:dyDescent="0.3">
      <c r="H936" s="11"/>
      <c r="J936" s="13"/>
    </row>
    <row r="937" spans="8:10" ht="15.75" customHeight="1" x14ac:dyDescent="0.3">
      <c r="H937" s="11"/>
      <c r="J937" s="13"/>
    </row>
    <row r="938" spans="8:10" ht="15.75" customHeight="1" x14ac:dyDescent="0.3">
      <c r="H938" s="11"/>
      <c r="J938" s="13"/>
    </row>
    <row r="939" spans="8:10" ht="15.75" customHeight="1" x14ac:dyDescent="0.3">
      <c r="H939" s="11"/>
      <c r="J939" s="13"/>
    </row>
    <row r="940" spans="8:10" ht="15.75" customHeight="1" x14ac:dyDescent="0.3">
      <c r="H940" s="11"/>
      <c r="J940" s="13"/>
    </row>
    <row r="941" spans="8:10" ht="15.75" customHeight="1" x14ac:dyDescent="0.3">
      <c r="H941" s="11"/>
      <c r="J941" s="13"/>
    </row>
    <row r="942" spans="8:10" ht="15.75" customHeight="1" x14ac:dyDescent="0.3">
      <c r="H942" s="11"/>
      <c r="J942" s="13"/>
    </row>
    <row r="943" spans="8:10" ht="15.75" customHeight="1" x14ac:dyDescent="0.3">
      <c r="H943" s="11"/>
      <c r="J943" s="13"/>
    </row>
    <row r="944" spans="8:10" ht="15.75" customHeight="1" x14ac:dyDescent="0.3">
      <c r="H944" s="11"/>
      <c r="J944" s="13"/>
    </row>
    <row r="945" spans="8:10" ht="15.75" customHeight="1" x14ac:dyDescent="0.3">
      <c r="H945" s="11"/>
      <c r="J945" s="13"/>
    </row>
    <row r="946" spans="8:10" ht="15.75" customHeight="1" x14ac:dyDescent="0.3">
      <c r="H946" s="11"/>
      <c r="J946" s="13"/>
    </row>
    <row r="947" spans="8:10" ht="15.75" customHeight="1" x14ac:dyDescent="0.3">
      <c r="H947" s="11"/>
      <c r="J947" s="13"/>
    </row>
    <row r="948" spans="8:10" ht="15.75" customHeight="1" x14ac:dyDescent="0.3">
      <c r="H948" s="11"/>
      <c r="J948" s="13"/>
    </row>
    <row r="949" spans="8:10" ht="15.75" customHeight="1" x14ac:dyDescent="0.3">
      <c r="H949" s="11"/>
      <c r="J949" s="13"/>
    </row>
    <row r="950" spans="8:10" ht="15.75" customHeight="1" x14ac:dyDescent="0.3">
      <c r="H950" s="11"/>
      <c r="J950" s="13"/>
    </row>
    <row r="951" spans="8:10" ht="15.75" customHeight="1" x14ac:dyDescent="0.3">
      <c r="H951" s="11"/>
      <c r="J951" s="13"/>
    </row>
    <row r="952" spans="8:10" ht="15.75" customHeight="1" x14ac:dyDescent="0.3">
      <c r="H952" s="11"/>
      <c r="J952" s="13"/>
    </row>
    <row r="953" spans="8:10" ht="15.75" customHeight="1" x14ac:dyDescent="0.3">
      <c r="H953" s="11"/>
      <c r="J953" s="13"/>
    </row>
    <row r="954" spans="8:10" ht="15.75" customHeight="1" x14ac:dyDescent="0.3">
      <c r="H954" s="11"/>
      <c r="J954" s="13"/>
    </row>
    <row r="955" spans="8:10" ht="15.75" customHeight="1" x14ac:dyDescent="0.3">
      <c r="H955" s="11"/>
      <c r="J955" s="13"/>
    </row>
    <row r="956" spans="8:10" ht="15.75" customHeight="1" x14ac:dyDescent="0.3">
      <c r="H956" s="11"/>
      <c r="J956" s="13"/>
    </row>
    <row r="957" spans="8:10" ht="15.75" customHeight="1" x14ac:dyDescent="0.3">
      <c r="H957" s="11"/>
      <c r="J957" s="13"/>
    </row>
    <row r="958" spans="8:10" ht="15.75" customHeight="1" x14ac:dyDescent="0.3">
      <c r="H958" s="11"/>
      <c r="J958" s="13"/>
    </row>
    <row r="959" spans="8:10" ht="15.75" customHeight="1" x14ac:dyDescent="0.3">
      <c r="H959" s="11"/>
      <c r="J959" s="13"/>
    </row>
    <row r="960" spans="8:10" ht="15.75" customHeight="1" x14ac:dyDescent="0.3">
      <c r="H960" s="11"/>
      <c r="J960" s="13"/>
    </row>
    <row r="961" spans="8:10" ht="15.75" customHeight="1" x14ac:dyDescent="0.3">
      <c r="H961" s="11"/>
      <c r="J961" s="13"/>
    </row>
    <row r="962" spans="8:10" ht="15.75" customHeight="1" x14ac:dyDescent="0.3">
      <c r="H962" s="11"/>
      <c r="J962" s="13"/>
    </row>
    <row r="963" spans="8:10" ht="15.75" customHeight="1" x14ac:dyDescent="0.3">
      <c r="H963" s="11"/>
      <c r="J963" s="13"/>
    </row>
    <row r="964" spans="8:10" ht="15.75" customHeight="1" x14ac:dyDescent="0.3">
      <c r="H964" s="11"/>
      <c r="J964" s="13"/>
    </row>
    <row r="965" spans="8:10" ht="15.75" customHeight="1" x14ac:dyDescent="0.3">
      <c r="H965" s="11"/>
      <c r="J965" s="13"/>
    </row>
    <row r="966" spans="8:10" ht="15.75" customHeight="1" x14ac:dyDescent="0.3">
      <c r="H966" s="11"/>
      <c r="J966" s="13"/>
    </row>
    <row r="967" spans="8:10" ht="15.75" customHeight="1" x14ac:dyDescent="0.3">
      <c r="H967" s="11"/>
      <c r="J967" s="13"/>
    </row>
    <row r="968" spans="8:10" ht="15.75" customHeight="1" x14ac:dyDescent="0.3">
      <c r="H968" s="11"/>
      <c r="J968" s="13"/>
    </row>
    <row r="969" spans="8:10" ht="15.75" customHeight="1" x14ac:dyDescent="0.3">
      <c r="H969" s="11"/>
      <c r="J969" s="13"/>
    </row>
    <row r="970" spans="8:10" ht="15.75" customHeight="1" x14ac:dyDescent="0.3">
      <c r="H970" s="11"/>
      <c r="J970" s="13"/>
    </row>
    <row r="971" spans="8:10" ht="15.75" customHeight="1" x14ac:dyDescent="0.3">
      <c r="H971" s="11"/>
      <c r="J971" s="13"/>
    </row>
    <row r="972" spans="8:10" ht="15.75" customHeight="1" x14ac:dyDescent="0.3">
      <c r="H972" s="11"/>
      <c r="J972" s="13"/>
    </row>
    <row r="973" spans="8:10" ht="15.75" customHeight="1" x14ac:dyDescent="0.3">
      <c r="H973" s="11"/>
      <c r="J973" s="13"/>
    </row>
    <row r="974" spans="8:10" ht="15.75" customHeight="1" x14ac:dyDescent="0.3">
      <c r="H974" s="11"/>
      <c r="J974" s="13"/>
    </row>
    <row r="975" spans="8:10" ht="15.75" customHeight="1" x14ac:dyDescent="0.3">
      <c r="H975" s="11"/>
      <c r="J975" s="13"/>
    </row>
    <row r="976" spans="8:10" ht="15.75" customHeight="1" x14ac:dyDescent="0.3">
      <c r="H976" s="11"/>
      <c r="J976" s="13"/>
    </row>
    <row r="977" spans="8:10" ht="15.75" customHeight="1" x14ac:dyDescent="0.3">
      <c r="H977" s="11"/>
      <c r="J977" s="13"/>
    </row>
    <row r="978" spans="8:10" ht="15.75" customHeight="1" x14ac:dyDescent="0.3">
      <c r="H978" s="11"/>
      <c r="J978" s="13"/>
    </row>
    <row r="979" spans="8:10" ht="15.75" customHeight="1" x14ac:dyDescent="0.3">
      <c r="H979" s="11"/>
      <c r="J979" s="13"/>
    </row>
    <row r="980" spans="8:10" ht="15.75" customHeight="1" x14ac:dyDescent="0.3">
      <c r="H980" s="11"/>
      <c r="J980" s="13"/>
    </row>
    <row r="981" spans="8:10" ht="15.75" customHeight="1" x14ac:dyDescent="0.3">
      <c r="H981" s="11"/>
      <c r="J981" s="13"/>
    </row>
    <row r="982" spans="8:10" ht="15.75" customHeight="1" x14ac:dyDescent="0.3">
      <c r="H982" s="11"/>
      <c r="J982" s="13"/>
    </row>
    <row r="983" spans="8:10" ht="15.75" customHeight="1" x14ac:dyDescent="0.3">
      <c r="H983" s="11"/>
      <c r="J983" s="13"/>
    </row>
    <row r="984" spans="8:10" ht="15.75" customHeight="1" x14ac:dyDescent="0.3">
      <c r="H984" s="11"/>
      <c r="J984" s="13"/>
    </row>
    <row r="985" spans="8:10" ht="15.75" customHeight="1" x14ac:dyDescent="0.3">
      <c r="H985" s="11"/>
      <c r="J985" s="13"/>
    </row>
    <row r="986" spans="8:10" ht="15.75" customHeight="1" x14ac:dyDescent="0.3">
      <c r="H986" s="11"/>
      <c r="J986" s="13"/>
    </row>
    <row r="987" spans="8:10" ht="15.75" customHeight="1" x14ac:dyDescent="0.3">
      <c r="H987" s="11"/>
      <c r="J987" s="13"/>
    </row>
    <row r="988" spans="8:10" ht="15.75" customHeight="1" x14ac:dyDescent="0.3">
      <c r="H988" s="11"/>
      <c r="J988" s="13"/>
    </row>
    <row r="989" spans="8:10" ht="15.75" customHeight="1" x14ac:dyDescent="0.3">
      <c r="H989" s="11"/>
      <c r="J989" s="13"/>
    </row>
    <row r="990" spans="8:10" ht="15.75" customHeight="1" x14ac:dyDescent="0.3">
      <c r="H990" s="11"/>
      <c r="J990" s="13"/>
    </row>
    <row r="991" spans="8:10" ht="15.75" customHeight="1" x14ac:dyDescent="0.3">
      <c r="H991" s="11"/>
      <c r="J991" s="13"/>
    </row>
    <row r="992" spans="8:10" ht="15.75" customHeight="1" x14ac:dyDescent="0.3">
      <c r="H992" s="11"/>
      <c r="J992" s="13"/>
    </row>
    <row r="993" spans="8:10" ht="15.75" customHeight="1" x14ac:dyDescent="0.3">
      <c r="H993" s="11"/>
      <c r="J993" s="13"/>
    </row>
    <row r="994" spans="8:10" ht="15.75" customHeight="1" x14ac:dyDescent="0.3">
      <c r="H994" s="11"/>
      <c r="J994" s="13"/>
    </row>
    <row r="995" spans="8:10" ht="15.75" customHeight="1" x14ac:dyDescent="0.3">
      <c r="H995" s="11"/>
      <c r="J995" s="13"/>
    </row>
    <row r="996" spans="8:10" ht="15.75" customHeight="1" x14ac:dyDescent="0.3">
      <c r="H996" s="11"/>
      <c r="J996" s="13"/>
    </row>
    <row r="997" spans="8:10" ht="15.75" customHeight="1" x14ac:dyDescent="0.3">
      <c r="H997" s="11"/>
      <c r="J997" s="13"/>
    </row>
    <row r="998" spans="8:10" ht="15.75" customHeight="1" x14ac:dyDescent="0.3">
      <c r="H998" s="11"/>
      <c r="J998" s="13"/>
    </row>
    <row r="999" spans="8:10" ht="15.75" customHeight="1" x14ac:dyDescent="0.3">
      <c r="H999" s="11"/>
      <c r="J999" s="13"/>
    </row>
    <row r="1000" spans="8:10" ht="15.75" customHeight="1" x14ac:dyDescent="0.3">
      <c r="H1000" s="11"/>
      <c r="J1000" s="13"/>
    </row>
    <row r="1001" spans="8:10" ht="15.75" customHeight="1" x14ac:dyDescent="0.3">
      <c r="H1001" s="11"/>
      <c r="J1001" s="13"/>
    </row>
    <row r="1002" spans="8:10" ht="15.75" customHeight="1" x14ac:dyDescent="0.3">
      <c r="H1002" s="11"/>
      <c r="J1002" s="13"/>
    </row>
    <row r="1003" spans="8:10" ht="15.75" customHeight="1" x14ac:dyDescent="0.3">
      <c r="H1003" s="11"/>
      <c r="J1003" s="13"/>
    </row>
    <row r="1004" spans="8:10" ht="15.75" customHeight="1" x14ac:dyDescent="0.3">
      <c r="H1004" s="11"/>
      <c r="J1004" s="13"/>
    </row>
    <row r="1005" spans="8:10" ht="15.75" customHeight="1" x14ac:dyDescent="0.3">
      <c r="H1005" s="11"/>
      <c r="J1005" s="13"/>
    </row>
    <row r="1006" spans="8:10" ht="15.75" customHeight="1" x14ac:dyDescent="0.3">
      <c r="H1006" s="11"/>
      <c r="J1006" s="13"/>
    </row>
    <row r="1007" spans="8:10" ht="15.75" customHeight="1" x14ac:dyDescent="0.3">
      <c r="H1007" s="11"/>
      <c r="J1007" s="13"/>
    </row>
    <row r="1008" spans="8:10" ht="15.75" customHeight="1" x14ac:dyDescent="0.3">
      <c r="H1008" s="11"/>
      <c r="J1008" s="13"/>
    </row>
    <row r="1009" spans="8:10" ht="15.75" customHeight="1" x14ac:dyDescent="0.3">
      <c r="H1009" s="11"/>
      <c r="J1009" s="13"/>
    </row>
    <row r="1010" spans="8:10" ht="15.75" customHeight="1" x14ac:dyDescent="0.3">
      <c r="H1010" s="11"/>
      <c r="J1010" s="13"/>
    </row>
    <row r="1011" spans="8:10" ht="15.75" customHeight="1" x14ac:dyDescent="0.3">
      <c r="H1011" s="11"/>
      <c r="J1011" s="13"/>
    </row>
    <row r="1012" spans="8:10" ht="15.75" customHeight="1" x14ac:dyDescent="0.3">
      <c r="H1012" s="11"/>
      <c r="J1012" s="13"/>
    </row>
    <row r="1013" spans="8:10" ht="15.75" customHeight="1" x14ac:dyDescent="0.3">
      <c r="H1013" s="11"/>
      <c r="J1013" s="13"/>
    </row>
    <row r="1014" spans="8:10" ht="15.75" customHeight="1" x14ac:dyDescent="0.3">
      <c r="H1014" s="11"/>
      <c r="J1014" s="13"/>
    </row>
    <row r="1015" spans="8:10" ht="15.75" customHeight="1" x14ac:dyDescent="0.3">
      <c r="H1015" s="11"/>
      <c r="J1015" s="13"/>
    </row>
    <row r="1016" spans="8:10" ht="15.75" customHeight="1" x14ac:dyDescent="0.3">
      <c r="H1016" s="11"/>
      <c r="J1016" s="13"/>
    </row>
    <row r="1017" spans="8:10" ht="15.75" customHeight="1" x14ac:dyDescent="0.3">
      <c r="H1017" s="11"/>
      <c r="J1017" s="13"/>
    </row>
    <row r="1018" spans="8:10" ht="15.75" customHeight="1" x14ac:dyDescent="0.3">
      <c r="H1018" s="11"/>
      <c r="J1018" s="13"/>
    </row>
    <row r="1019" spans="8:10" ht="15.75" customHeight="1" x14ac:dyDescent="0.3">
      <c r="H1019" s="11"/>
      <c r="J1019" s="13"/>
    </row>
    <row r="1020" spans="8:10" ht="15.75" customHeight="1" x14ac:dyDescent="0.3">
      <c r="H1020" s="11"/>
      <c r="J1020" s="13"/>
    </row>
    <row r="1021" spans="8:10" ht="15.75" customHeight="1" x14ac:dyDescent="0.3">
      <c r="H1021" s="11"/>
      <c r="J1021" s="13"/>
    </row>
    <row r="1022" spans="8:10" ht="15.75" customHeight="1" x14ac:dyDescent="0.3">
      <c r="H1022" s="11"/>
      <c r="J1022" s="13"/>
    </row>
    <row r="1023" spans="8:10" ht="15.75" customHeight="1" x14ac:dyDescent="0.3">
      <c r="H1023" s="11"/>
      <c r="J1023" s="13"/>
    </row>
    <row r="1024" spans="8:10" ht="15.75" customHeight="1" x14ac:dyDescent="0.3">
      <c r="H1024" s="11"/>
      <c r="J1024" s="13"/>
    </row>
    <row r="1025" spans="8:10" ht="15.75" customHeight="1" x14ac:dyDescent="0.3">
      <c r="H1025" s="11"/>
      <c r="J1025" s="13"/>
    </row>
    <row r="1026" spans="8:10" ht="15.75" customHeight="1" x14ac:dyDescent="0.3">
      <c r="H1026" s="11"/>
      <c r="J1026" s="13"/>
    </row>
    <row r="1027" spans="8:10" ht="15.75" customHeight="1" x14ac:dyDescent="0.3">
      <c r="H1027" s="11"/>
      <c r="J1027" s="13"/>
    </row>
    <row r="1028" spans="8:10" ht="15.75" customHeight="1" x14ac:dyDescent="0.3">
      <c r="H1028" s="11"/>
      <c r="J1028" s="13"/>
    </row>
    <row r="1029" spans="8:10" ht="15.75" customHeight="1" x14ac:dyDescent="0.3"/>
  </sheetData>
  <customSheetViews>
    <customSheetView guid="{EDB7B100-CC5D-481A-8451-1E52F411DEE8}" filter="1" showAutoFilter="1">
      <pageMargins left="0.7" right="0.7" top="0.75" bottom="0.75" header="0.3" footer="0.3"/>
      <autoFilter ref="A1:K149" xr:uid="{DB4F84E2-41BA-4939-83FB-97D1FD47A97A}"/>
      <extLst>
        <ext uri="GoogleSheetsCustomDataVersion1">
          <go:sheetsCustomData xmlns:go="http://customooxmlschemas.google.com/" filterViewId="277729680"/>
        </ext>
      </extLst>
    </customSheetView>
  </customSheetViews>
  <pageMargins left="0.7" right="0.7" top="0.75" bottom="0.75" header="0" footer="0"/>
  <pageSetup orientation="landscape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Z1000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1.19921875" defaultRowHeight="15" customHeight="1" x14ac:dyDescent="0.3"/>
  <cols>
    <col min="1" max="2" width="16.59765625" customWidth="1"/>
    <col min="3" max="3" width="41.5" customWidth="1"/>
    <col min="4" max="4" width="6" customWidth="1"/>
    <col min="5" max="5" width="17.19921875" customWidth="1"/>
    <col min="6" max="7" width="14.19921875" customWidth="1"/>
    <col min="8" max="8" width="10.5" customWidth="1"/>
    <col min="9" max="9" width="14.19921875" customWidth="1"/>
    <col min="10" max="10" width="19.19921875" customWidth="1"/>
    <col min="11" max="11" width="22" customWidth="1"/>
    <col min="12" max="13" width="10.5" customWidth="1"/>
    <col min="14" max="14" width="20.19921875" customWidth="1"/>
    <col min="15" max="15" width="23.5" customWidth="1"/>
    <col min="16" max="16" width="17.69921875" customWidth="1"/>
    <col min="17" max="17" width="16.8984375" customWidth="1"/>
    <col min="18" max="18" width="16.5" customWidth="1"/>
    <col min="19" max="20" width="10.5" customWidth="1"/>
    <col min="21" max="21" width="15.19921875" customWidth="1"/>
    <col min="22" max="22" width="11.09765625" customWidth="1"/>
    <col min="23" max="24" width="10.5" customWidth="1"/>
    <col min="25" max="25" width="13.59765625" customWidth="1"/>
    <col min="26" max="26" width="10.5" customWidth="1"/>
  </cols>
  <sheetData>
    <row r="1" spans="1:26" ht="15.75" customHeight="1" x14ac:dyDescent="0.3">
      <c r="A1" s="1" t="s">
        <v>59</v>
      </c>
      <c r="B1" s="1" t="s">
        <v>60</v>
      </c>
      <c r="C1" s="1" t="s">
        <v>61</v>
      </c>
      <c r="D1" s="1" t="s">
        <v>62</v>
      </c>
      <c r="E1" s="1" t="s">
        <v>63</v>
      </c>
      <c r="N1" s="4"/>
      <c r="O1" s="4"/>
      <c r="P1" s="4"/>
      <c r="Q1" s="21" t="s">
        <v>64</v>
      </c>
      <c r="R1" s="22" t="s">
        <v>65</v>
      </c>
      <c r="U1" s="4"/>
      <c r="V1" s="4"/>
      <c r="Y1" s="4"/>
    </row>
    <row r="2" spans="1:26" ht="15.75" customHeight="1" x14ac:dyDescent="0.3">
      <c r="A2" s="7" t="s">
        <v>18</v>
      </c>
      <c r="B2" s="7">
        <f>'FACTURAS '!$F2+'FACTURAS '!F6+'FACTURAS '!F14+'FACTURAS '!F19</f>
        <v>15</v>
      </c>
      <c r="C2" s="7">
        <v>4</v>
      </c>
      <c r="D2" s="7">
        <v>0</v>
      </c>
      <c r="E2" s="7">
        <v>8</v>
      </c>
      <c r="N2" s="4"/>
      <c r="O2" s="4"/>
      <c r="P2" s="4"/>
      <c r="Q2" s="23" t="s">
        <v>24</v>
      </c>
      <c r="R2" s="22">
        <v>36</v>
      </c>
      <c r="U2" s="4"/>
      <c r="Y2" s="4"/>
      <c r="Z2" s="4"/>
    </row>
    <row r="3" spans="1:26" ht="15.75" customHeight="1" x14ac:dyDescent="0.3">
      <c r="A3" s="7" t="s">
        <v>24</v>
      </c>
      <c r="B3" s="7">
        <f>'FACTURAS '!F4+'FACTURAS '!F7+'FACTURAS '!F15</f>
        <v>10</v>
      </c>
      <c r="C3" s="7">
        <v>3</v>
      </c>
      <c r="D3" s="7">
        <v>0</v>
      </c>
      <c r="E3" s="7">
        <v>10</v>
      </c>
      <c r="N3" s="4"/>
      <c r="O3" s="4"/>
      <c r="P3" s="4"/>
      <c r="Q3" s="24" t="s">
        <v>29</v>
      </c>
      <c r="R3" s="25">
        <v>2</v>
      </c>
      <c r="U3" s="4"/>
      <c r="Y3" s="4"/>
      <c r="Z3" s="4"/>
    </row>
    <row r="4" spans="1:26" ht="15.75" customHeight="1" x14ac:dyDescent="0.3">
      <c r="A4" s="7" t="s">
        <v>25</v>
      </c>
      <c r="B4" s="7">
        <f>'FACTURAS '!F9+'FACTURAS '!F25+FLUJO!D21</f>
        <v>8</v>
      </c>
      <c r="C4" s="7">
        <v>5</v>
      </c>
      <c r="D4" s="7">
        <v>0</v>
      </c>
      <c r="E4" s="7">
        <v>6</v>
      </c>
      <c r="N4" s="4"/>
      <c r="O4" s="4"/>
      <c r="P4" s="4"/>
      <c r="Q4" s="24" t="s">
        <v>22</v>
      </c>
      <c r="R4" s="25">
        <v>12</v>
      </c>
      <c r="U4" s="4"/>
      <c r="Y4" s="4"/>
      <c r="Z4" s="4"/>
    </row>
    <row r="5" spans="1:26" ht="15.75" customHeight="1" x14ac:dyDescent="0.3">
      <c r="A5" s="7" t="s">
        <v>66</v>
      </c>
      <c r="B5" s="7">
        <v>3</v>
      </c>
      <c r="C5" s="7">
        <v>0</v>
      </c>
      <c r="D5" s="7">
        <v>0</v>
      </c>
      <c r="E5" s="7">
        <v>3</v>
      </c>
      <c r="N5" s="4"/>
      <c r="O5" s="4"/>
      <c r="P5" s="4"/>
      <c r="Q5" s="24" t="s">
        <v>25</v>
      </c>
      <c r="R5" s="25">
        <v>25</v>
      </c>
      <c r="U5" s="4"/>
      <c r="Y5" s="4"/>
      <c r="Z5" s="4"/>
    </row>
    <row r="6" spans="1:26" ht="15.75" customHeight="1" x14ac:dyDescent="0.3">
      <c r="A6" s="26" t="s">
        <v>29</v>
      </c>
      <c r="B6" s="26">
        <v>2</v>
      </c>
      <c r="C6" s="26">
        <f t="shared" ref="C6:C7" si="0">B6-(D6+E6)</f>
        <v>0</v>
      </c>
      <c r="D6" s="26">
        <v>0</v>
      </c>
      <c r="E6" s="26">
        <v>2</v>
      </c>
      <c r="N6" s="4"/>
      <c r="O6" s="4"/>
      <c r="P6" s="4"/>
      <c r="Q6" s="24" t="s">
        <v>18</v>
      </c>
      <c r="R6" s="25">
        <v>27</v>
      </c>
      <c r="U6" s="4"/>
      <c r="Y6" s="4"/>
      <c r="Z6" s="27"/>
    </row>
    <row r="7" spans="1:26" ht="15.75" customHeight="1" x14ac:dyDescent="0.3">
      <c r="A7" s="7" t="s">
        <v>67</v>
      </c>
      <c r="B7" s="7">
        <v>0</v>
      </c>
      <c r="C7" s="7">
        <f t="shared" si="0"/>
        <v>0</v>
      </c>
      <c r="D7" s="7">
        <v>0</v>
      </c>
      <c r="E7" s="7">
        <v>0</v>
      </c>
      <c r="N7" s="4"/>
      <c r="O7" s="4"/>
      <c r="P7" s="4"/>
      <c r="Q7" s="24" t="s">
        <v>28</v>
      </c>
      <c r="R7" s="25">
        <v>70</v>
      </c>
      <c r="U7" s="4"/>
      <c r="Y7" s="4"/>
      <c r="Z7" s="4"/>
    </row>
    <row r="8" spans="1:26" ht="15.75" customHeight="1" x14ac:dyDescent="0.3">
      <c r="A8" s="7" t="s">
        <v>68</v>
      </c>
      <c r="B8" s="7">
        <v>25</v>
      </c>
      <c r="C8" s="7">
        <v>4.9000000000000004</v>
      </c>
      <c r="D8" s="7">
        <v>0</v>
      </c>
      <c r="E8" s="7">
        <v>25</v>
      </c>
      <c r="N8" s="4"/>
      <c r="O8" s="4"/>
      <c r="P8" s="4"/>
      <c r="Q8" s="24" t="s">
        <v>26</v>
      </c>
      <c r="R8" s="25">
        <v>80</v>
      </c>
      <c r="U8" s="4"/>
      <c r="Y8" s="4"/>
      <c r="Z8" s="4"/>
    </row>
    <row r="9" spans="1:26" ht="15.75" customHeight="1" x14ac:dyDescent="0.3">
      <c r="A9" s="7" t="s">
        <v>69</v>
      </c>
      <c r="B9" s="7">
        <v>31</v>
      </c>
      <c r="C9" s="7">
        <v>3.9</v>
      </c>
      <c r="D9" s="7">
        <v>0</v>
      </c>
      <c r="E9" s="7">
        <v>31</v>
      </c>
      <c r="N9" s="4"/>
      <c r="O9" s="4"/>
      <c r="P9" s="4"/>
      <c r="Q9" s="24" t="s">
        <v>27</v>
      </c>
      <c r="R9" s="25">
        <v>127.2</v>
      </c>
      <c r="U9" s="4"/>
      <c r="Y9" s="4"/>
      <c r="Z9" s="4"/>
    </row>
    <row r="10" spans="1:26" ht="15.75" customHeight="1" x14ac:dyDescent="0.3">
      <c r="A10" s="7" t="s">
        <v>70</v>
      </c>
      <c r="B10" s="7">
        <v>26</v>
      </c>
      <c r="C10" s="7">
        <v>8</v>
      </c>
      <c r="D10" s="7">
        <v>0</v>
      </c>
      <c r="E10" s="7">
        <v>19</v>
      </c>
      <c r="N10" s="4"/>
      <c r="O10" s="4"/>
      <c r="P10" s="4"/>
      <c r="Q10" s="24" t="s">
        <v>53</v>
      </c>
      <c r="R10" s="25">
        <v>211.2</v>
      </c>
      <c r="U10" s="4"/>
      <c r="Y10" s="4"/>
      <c r="Z10" s="4"/>
    </row>
    <row r="11" spans="1:26" ht="15.75" customHeight="1" x14ac:dyDescent="0.3">
      <c r="A11" s="7" t="s">
        <v>71</v>
      </c>
      <c r="B11" s="7">
        <v>0</v>
      </c>
      <c r="C11" s="7">
        <f>B11-(D11+E11)</f>
        <v>0</v>
      </c>
      <c r="D11" s="7">
        <v>0</v>
      </c>
      <c r="E11" s="7">
        <v>0</v>
      </c>
      <c r="N11" s="4"/>
      <c r="O11" s="4"/>
      <c r="P11" s="4"/>
      <c r="Q11" s="24" t="s">
        <v>31</v>
      </c>
      <c r="R11" s="25">
        <v>78.319999999999993</v>
      </c>
      <c r="U11" s="4"/>
      <c r="Y11" s="4"/>
      <c r="Z11" s="4"/>
    </row>
    <row r="12" spans="1:26" ht="15.75" customHeight="1" x14ac:dyDescent="0.3">
      <c r="A12" s="7" t="s">
        <v>72</v>
      </c>
      <c r="B12" s="1">
        <v>43.73</v>
      </c>
      <c r="C12" s="7">
        <v>12</v>
      </c>
      <c r="D12" s="7">
        <v>0</v>
      </c>
      <c r="E12" s="7">
        <v>8.6</v>
      </c>
      <c r="N12" s="4"/>
      <c r="O12" s="27"/>
      <c r="P12" s="4"/>
      <c r="Q12" s="24" t="s">
        <v>44</v>
      </c>
      <c r="R12" s="25">
        <v>34</v>
      </c>
      <c r="U12" s="4"/>
      <c r="Y12" s="4"/>
      <c r="Z12" s="4"/>
    </row>
    <row r="13" spans="1:26" ht="15.75" customHeight="1" x14ac:dyDescent="0.3">
      <c r="A13" s="7" t="s">
        <v>73</v>
      </c>
      <c r="B13" s="7">
        <v>10.5</v>
      </c>
      <c r="C13" s="7">
        <v>0</v>
      </c>
      <c r="D13" s="7">
        <v>0</v>
      </c>
      <c r="E13" s="7">
        <v>5.0999999999999996</v>
      </c>
      <c r="N13" s="4"/>
      <c r="O13" s="4"/>
      <c r="P13" s="4"/>
      <c r="Q13" s="24" t="s">
        <v>33</v>
      </c>
      <c r="R13" s="25">
        <v>15.85</v>
      </c>
      <c r="U13" s="4"/>
      <c r="Y13" s="4"/>
      <c r="Z13" s="4"/>
    </row>
    <row r="14" spans="1:26" ht="15.75" customHeight="1" x14ac:dyDescent="0.3">
      <c r="A14" s="7" t="s">
        <v>74</v>
      </c>
      <c r="B14" s="7">
        <v>15</v>
      </c>
      <c r="C14" s="7">
        <v>6.25</v>
      </c>
      <c r="D14" s="7">
        <v>0</v>
      </c>
      <c r="E14" s="7">
        <v>2</v>
      </c>
      <c r="N14" s="4"/>
      <c r="O14" s="4"/>
      <c r="P14" s="4"/>
      <c r="Q14" s="24" t="s">
        <v>34</v>
      </c>
      <c r="R14" s="25">
        <v>22.4</v>
      </c>
      <c r="U14" s="4"/>
      <c r="Y14" s="4"/>
      <c r="Z14" s="4"/>
    </row>
    <row r="15" spans="1:26" ht="15.75" customHeight="1" x14ac:dyDescent="0.3">
      <c r="A15" s="7" t="s">
        <v>75</v>
      </c>
      <c r="B15" s="7">
        <v>15</v>
      </c>
      <c r="C15" s="7">
        <v>7.35</v>
      </c>
      <c r="D15" s="7">
        <v>0</v>
      </c>
      <c r="E15" s="7">
        <v>8.4499999999999993</v>
      </c>
      <c r="N15" s="4"/>
      <c r="O15" s="4"/>
      <c r="P15" s="4"/>
      <c r="Q15" s="24" t="s">
        <v>36</v>
      </c>
      <c r="R15" s="25">
        <v>5</v>
      </c>
      <c r="U15" s="4"/>
      <c r="Y15" s="4"/>
      <c r="Z15" s="4"/>
    </row>
    <row r="16" spans="1:26" ht="15.75" customHeight="1" x14ac:dyDescent="0.3">
      <c r="A16" s="7" t="s">
        <v>76</v>
      </c>
      <c r="B16" s="7">
        <v>3</v>
      </c>
      <c r="C16" s="7">
        <v>0</v>
      </c>
      <c r="D16" s="7">
        <v>0</v>
      </c>
      <c r="E16" s="7">
        <v>2</v>
      </c>
      <c r="N16" s="4"/>
      <c r="O16" s="4"/>
      <c r="P16" s="4"/>
      <c r="Q16" s="24" t="s">
        <v>35</v>
      </c>
      <c r="R16" s="25">
        <v>42.199999999999996</v>
      </c>
      <c r="U16" s="4"/>
      <c r="Y16" s="4"/>
      <c r="Z16" s="4"/>
    </row>
    <row r="17" spans="1:26" ht="15.75" customHeight="1" x14ac:dyDescent="0.3">
      <c r="A17" s="7" t="s">
        <v>77</v>
      </c>
      <c r="B17" s="7">
        <v>1</v>
      </c>
      <c r="C17" s="7">
        <f>FLUJO!$B17-(FLUJO!$D17+FLUJO!$E17)</f>
        <v>0</v>
      </c>
      <c r="D17" s="7">
        <v>0</v>
      </c>
      <c r="E17" s="7">
        <v>1</v>
      </c>
      <c r="N17" s="4"/>
      <c r="O17" s="4"/>
      <c r="P17" s="4"/>
      <c r="Q17" s="28" t="s">
        <v>78</v>
      </c>
      <c r="R17" s="29">
        <v>788.17000000000007</v>
      </c>
      <c r="U17" s="4"/>
      <c r="Y17" s="4"/>
      <c r="Z17" s="4"/>
    </row>
    <row r="18" spans="1:26" ht="15.75" customHeight="1" x14ac:dyDescent="0.3">
      <c r="A18" s="7" t="s">
        <v>79</v>
      </c>
      <c r="B18" s="7">
        <v>9.8000000000000007</v>
      </c>
      <c r="C18" s="7">
        <v>5.3</v>
      </c>
      <c r="D18" s="7">
        <v>0</v>
      </c>
      <c r="E18" s="7">
        <v>4</v>
      </c>
      <c r="N18" s="4"/>
      <c r="O18" s="4"/>
      <c r="P18" s="4"/>
      <c r="U18" s="4"/>
    </row>
    <row r="19" spans="1:26" ht="15.75" customHeight="1" x14ac:dyDescent="0.3"/>
    <row r="20" spans="1:26" ht="15.75" customHeight="1" x14ac:dyDescent="0.3"/>
    <row r="21" spans="1:26" ht="15.75" customHeight="1" x14ac:dyDescent="0.3"/>
    <row r="22" spans="1:26" ht="15.75" customHeight="1" x14ac:dyDescent="0.3">
      <c r="A22" s="4" t="s">
        <v>80</v>
      </c>
    </row>
    <row r="23" spans="1:26" ht="15.75" customHeight="1" x14ac:dyDescent="0.3">
      <c r="A23" s="30" t="s">
        <v>81</v>
      </c>
    </row>
    <row r="24" spans="1:26" ht="15.75" customHeight="1" x14ac:dyDescent="0.3">
      <c r="A24" s="30" t="s">
        <v>82</v>
      </c>
      <c r="C24" s="30" t="s">
        <v>83</v>
      </c>
      <c r="E24" s="4" t="s">
        <v>84</v>
      </c>
      <c r="G24" s="4" t="s">
        <v>85</v>
      </c>
      <c r="H24" s="4" t="s">
        <v>86</v>
      </c>
      <c r="I24" s="4"/>
      <c r="J24" s="4"/>
      <c r="K24" s="4" t="s">
        <v>87</v>
      </c>
      <c r="L24" s="4" t="s">
        <v>86</v>
      </c>
      <c r="N24" s="4" t="s">
        <v>85</v>
      </c>
      <c r="O24" s="4" t="s">
        <v>86</v>
      </c>
    </row>
    <row r="25" spans="1:26" ht="15.75" customHeight="1" x14ac:dyDescent="0.3">
      <c r="A25" s="21" t="s">
        <v>64</v>
      </c>
      <c r="B25" s="22" t="s">
        <v>65</v>
      </c>
      <c r="C25" s="21" t="s">
        <v>88</v>
      </c>
      <c r="D25" s="22"/>
    </row>
    <row r="26" spans="1:26" ht="15.75" customHeight="1" x14ac:dyDescent="0.3">
      <c r="A26" s="23" t="s">
        <v>24</v>
      </c>
      <c r="B26" s="22">
        <v>33</v>
      </c>
      <c r="C26" s="23" t="s">
        <v>89</v>
      </c>
      <c r="D26" s="22">
        <v>24</v>
      </c>
      <c r="G26" s="4" t="s">
        <v>90</v>
      </c>
      <c r="H26" s="4" t="e">
        <f>GETPIVOTDATA("cantidad ",$A$25,"Producto ","caja bolsillo feliz")-GETPIVOTDATA("Suma de bolsillo feliz",$C$25)-6</f>
        <v>#REF!</v>
      </c>
      <c r="K26" s="4" t="s">
        <v>91</v>
      </c>
      <c r="L26" s="4">
        <v>2</v>
      </c>
      <c r="N26" s="4" t="s">
        <v>90</v>
      </c>
      <c r="O26" s="4">
        <v>0</v>
      </c>
    </row>
    <row r="27" spans="1:26" ht="15.75" customHeight="1" x14ac:dyDescent="0.3">
      <c r="A27" s="24" t="s">
        <v>22</v>
      </c>
      <c r="B27" s="25">
        <v>12</v>
      </c>
      <c r="C27" s="24" t="s">
        <v>92</v>
      </c>
      <c r="D27" s="25">
        <v>8</v>
      </c>
      <c r="G27" s="4" t="s">
        <v>93</v>
      </c>
      <c r="H27" s="4" t="e">
        <f>GETPIVOTDATA("cantidad ",$A$25,"Producto ","caja kids")-GETPIVOTDATA("Suma de niños",$C$25)</f>
        <v>#REF!</v>
      </c>
      <c r="K27" s="4" t="s">
        <v>94</v>
      </c>
      <c r="L27" s="4">
        <v>1</v>
      </c>
      <c r="N27" s="4" t="s">
        <v>93</v>
      </c>
      <c r="O27" s="4">
        <v>2</v>
      </c>
    </row>
    <row r="28" spans="1:26" ht="15.75" customHeight="1" x14ac:dyDescent="0.3">
      <c r="A28" s="24" t="s">
        <v>25</v>
      </c>
      <c r="B28" s="25">
        <v>24</v>
      </c>
      <c r="C28" s="24" t="s">
        <v>95</v>
      </c>
      <c r="D28" s="25">
        <v>18</v>
      </c>
      <c r="G28" s="4" t="s">
        <v>96</v>
      </c>
      <c r="H28" s="4" t="e">
        <f>GETPIVOTDATA("cantidad ",$A$25,"Producto ","caja mensual")-GETPIVOTDATA("Suma de mensual",$C$25)-2</f>
        <v>#REF!</v>
      </c>
      <c r="K28" s="4" t="s">
        <v>97</v>
      </c>
      <c r="L28" s="4">
        <v>3</v>
      </c>
      <c r="N28" s="4" t="s">
        <v>96</v>
      </c>
      <c r="O28" s="4">
        <v>0</v>
      </c>
    </row>
    <row r="29" spans="1:26" ht="15.75" customHeight="1" x14ac:dyDescent="0.3">
      <c r="A29" s="24" t="s">
        <v>18</v>
      </c>
      <c r="B29" s="25">
        <v>27</v>
      </c>
      <c r="C29" s="24" t="s">
        <v>98</v>
      </c>
      <c r="D29" s="25">
        <v>16</v>
      </c>
      <c r="G29" s="4" t="s">
        <v>99</v>
      </c>
      <c r="H29" s="4" t="e">
        <f>GETPIVOTDATA("cantidad ",$A$25,"Producto ","caja semanal")-GETPIVOTDATA("Suma de semanal",$C$25)-10</f>
        <v>#REF!</v>
      </c>
      <c r="K29" s="4" t="s">
        <v>100</v>
      </c>
      <c r="L29" s="4">
        <v>2</v>
      </c>
      <c r="N29" s="4" t="s">
        <v>99</v>
      </c>
      <c r="O29" s="4">
        <v>1</v>
      </c>
    </row>
    <row r="30" spans="1:26" ht="15.75" customHeight="1" x14ac:dyDescent="0.3">
      <c r="A30" s="24" t="s">
        <v>28</v>
      </c>
      <c r="B30" s="25">
        <v>70</v>
      </c>
      <c r="C30" s="24" t="s">
        <v>101</v>
      </c>
      <c r="D30" s="25">
        <v>63</v>
      </c>
      <c r="G30" s="4" t="s">
        <v>102</v>
      </c>
      <c r="H30" s="4" t="e">
        <f>GETPIVOTDATA("cantidad ",$A$25,"Producto ","promo aceite")-GETPIVOTDATA("Suma de Aceite Full Frito 10 Lt",$C$25)-6</f>
        <v>#REF!</v>
      </c>
      <c r="K30" s="4" t="s">
        <v>103</v>
      </c>
      <c r="L30" s="4">
        <v>4</v>
      </c>
      <c r="N30" s="4" t="s">
        <v>102</v>
      </c>
      <c r="O30" s="4">
        <v>2</v>
      </c>
    </row>
    <row r="31" spans="1:26" ht="15.75" customHeight="1" x14ac:dyDescent="0.3">
      <c r="A31" s="24" t="s">
        <v>27</v>
      </c>
      <c r="B31" s="25">
        <v>122.2</v>
      </c>
      <c r="C31" s="24" t="s">
        <v>104</v>
      </c>
      <c r="D31" s="25">
        <v>106.8</v>
      </c>
      <c r="E31" s="4" t="e">
        <f>GETPIVOTDATA("Suma de Atun Isadora 100 gr",$C$25)*20</f>
        <v>#REF!</v>
      </c>
      <c r="G31" s="4" t="s">
        <v>105</v>
      </c>
      <c r="H31" s="4" t="e">
        <f>GETPIVOTDATA("cantidad ",$A$25,"Producto ","promo atun")*20-GETPIVOTDATA("Suma de Atun Isadora 100 gr",$C$25)*20-6</f>
        <v>#REF!</v>
      </c>
      <c r="K31" s="4" t="s">
        <v>106</v>
      </c>
      <c r="L31" s="4">
        <v>5</v>
      </c>
      <c r="N31" s="4" t="s">
        <v>105</v>
      </c>
      <c r="O31" s="4">
        <v>406</v>
      </c>
    </row>
    <row r="32" spans="1:26" ht="15.75" customHeight="1" x14ac:dyDescent="0.3">
      <c r="A32" s="24" t="s">
        <v>53</v>
      </c>
      <c r="B32" s="25">
        <v>211.2</v>
      </c>
      <c r="C32" s="24" t="s">
        <v>107</v>
      </c>
      <c r="D32" s="25">
        <v>14.5</v>
      </c>
      <c r="E32" s="4" t="e">
        <f>GETPIVOTDATA("Suma de Choritos costa tenglo",$C$25)*20</f>
        <v>#REF!</v>
      </c>
      <c r="G32" s="4" t="s">
        <v>108</v>
      </c>
      <c r="H32" s="4" t="e">
        <f>GETPIVOTDATA("cantidad ",$A$25,"Producto ","promo choritos")*20-GETPIVOTDATA("Suma de Choritos costa tenglo",$C$25)*20</f>
        <v>#REF!</v>
      </c>
      <c r="K32" s="4" t="s">
        <v>109</v>
      </c>
      <c r="L32" s="4">
        <v>1</v>
      </c>
      <c r="N32" s="4" t="s">
        <v>108</v>
      </c>
      <c r="O32" s="4">
        <v>4094</v>
      </c>
    </row>
    <row r="33" spans="1:15" ht="15.75" customHeight="1" x14ac:dyDescent="0.3">
      <c r="A33" s="24" t="s">
        <v>44</v>
      </c>
      <c r="B33" s="25">
        <v>34</v>
      </c>
      <c r="C33" s="24" t="s">
        <v>110</v>
      </c>
      <c r="D33" s="25">
        <v>32</v>
      </c>
      <c r="E33" s="4" t="e">
        <f>GETPIVOTDATA("Suma de Jibia corcovado",$C$25)*10</f>
        <v>#REF!</v>
      </c>
      <c r="G33" s="4" t="s">
        <v>111</v>
      </c>
      <c r="H33" s="4" t="e">
        <f>GETPIVOTDATA("cantidad ",$A$25,"Producto ","promo jibia")*10-GETPIVOTDATA("Suma de Jibia corcovado",$C$25)*10-16</f>
        <v>#REF!</v>
      </c>
      <c r="K33" s="4" t="s">
        <v>112</v>
      </c>
      <c r="L33" s="4">
        <v>3</v>
      </c>
      <c r="N33" s="4" t="s">
        <v>111</v>
      </c>
      <c r="O33" s="4">
        <v>23</v>
      </c>
    </row>
    <row r="34" spans="1:15" ht="15.75" customHeight="1" x14ac:dyDescent="0.3">
      <c r="A34" s="24" t="s">
        <v>34</v>
      </c>
      <c r="B34" s="25">
        <v>22.4</v>
      </c>
      <c r="C34" s="24" t="s">
        <v>113</v>
      </c>
      <c r="D34" s="25">
        <v>18</v>
      </c>
      <c r="E34" s="4" t="e">
        <f>GETPIVOTDATA("Suma de Surtidos de mariscos corcovado 190 gr",$C$25)*10</f>
        <v>#REF!</v>
      </c>
      <c r="G34" s="4" t="s">
        <v>114</v>
      </c>
      <c r="H34" s="4" t="e">
        <f>GETPIVOTDATA("cantidad ",$A$25,"Producto ","promo mariscos")*20-GETPIVOTDATA("Suma de Surtidos de mariscos corcovado 190 gr",$C$25)*20+287</f>
        <v>#REF!</v>
      </c>
      <c r="K34" s="4" t="s">
        <v>115</v>
      </c>
      <c r="L34" s="4">
        <v>7</v>
      </c>
      <c r="N34" s="4" t="s">
        <v>114</v>
      </c>
      <c r="O34" s="4">
        <v>5</v>
      </c>
    </row>
    <row r="35" spans="1:15" ht="15.75" customHeight="1" x14ac:dyDescent="0.3">
      <c r="A35" s="24" t="s">
        <v>35</v>
      </c>
      <c r="B35" s="25">
        <v>42.199999999999996</v>
      </c>
      <c r="C35" s="24" t="s">
        <v>116</v>
      </c>
      <c r="D35" s="25">
        <v>35.5</v>
      </c>
      <c r="E35" s="4" t="e">
        <f>GETPIVOTDATA("Suma de Salmon al natural corcovado 160 gr",$C$25)*20</f>
        <v>#REF!</v>
      </c>
      <c r="G35" s="4" t="s">
        <v>117</v>
      </c>
      <c r="H35" s="4" t="e">
        <f>GETPIVOTDATA("cantidad ",$A$25,"Producto ","promo salmon")*20-GETPIVOTDATA("Suma de Salmon al natural corcovado 160 gr",$C$25)*20+572</f>
        <v>#REF!</v>
      </c>
      <c r="K35" s="4" t="s">
        <v>118</v>
      </c>
      <c r="L35" s="4">
        <v>8</v>
      </c>
      <c r="N35" s="4" t="s">
        <v>117</v>
      </c>
      <c r="O35" s="4">
        <v>86</v>
      </c>
    </row>
    <row r="36" spans="1:15" ht="15.75" customHeight="1" x14ac:dyDescent="0.3">
      <c r="A36" s="24" t="s">
        <v>26</v>
      </c>
      <c r="B36" s="25">
        <v>80</v>
      </c>
      <c r="C36" s="31" t="s">
        <v>119</v>
      </c>
      <c r="D36" s="32">
        <v>78.5</v>
      </c>
      <c r="E36" s="4" t="e">
        <f>GETPIVOTDATA("Suma de Arroz El Pais 1 Kg",$C$25)*10</f>
        <v>#REF!</v>
      </c>
      <c r="G36" s="4" t="s">
        <v>120</v>
      </c>
      <c r="H36" s="4" t="e">
        <f>GETPIVOTDATA("cantidad ",$A$25,"Producto ","promo arroz")*10-GETPIVOTDATA("Suma de Arroz El Pais 1 Kg",$C$25)*10</f>
        <v>#REF!</v>
      </c>
      <c r="I36" s="4"/>
      <c r="K36" s="4" t="s">
        <v>121</v>
      </c>
      <c r="L36" s="4">
        <v>36</v>
      </c>
      <c r="N36" s="4" t="s">
        <v>120</v>
      </c>
      <c r="O36" s="4" t="s">
        <v>122</v>
      </c>
    </row>
    <row r="37" spans="1:15" ht="15.75" customHeight="1" x14ac:dyDescent="0.3">
      <c r="A37" s="24" t="s">
        <v>31</v>
      </c>
      <c r="B37" s="25">
        <v>62.319999999999993</v>
      </c>
      <c r="I37" s="4"/>
      <c r="K37" s="4" t="s">
        <v>123</v>
      </c>
      <c r="L37" s="4">
        <v>6</v>
      </c>
      <c r="N37" s="4" t="s">
        <v>124</v>
      </c>
      <c r="O37" s="4">
        <v>10</v>
      </c>
    </row>
    <row r="38" spans="1:15" ht="15.75" customHeight="1" x14ac:dyDescent="0.3">
      <c r="A38" s="24" t="s">
        <v>33</v>
      </c>
      <c r="B38" s="25">
        <v>15.85</v>
      </c>
      <c r="K38" s="4" t="s">
        <v>125</v>
      </c>
      <c r="L38" s="4">
        <v>10</v>
      </c>
    </row>
    <row r="39" spans="1:15" ht="15.75" customHeight="1" x14ac:dyDescent="0.3">
      <c r="A39" s="24" t="s">
        <v>36</v>
      </c>
      <c r="B39" s="25">
        <v>5</v>
      </c>
      <c r="K39" s="4" t="s">
        <v>126</v>
      </c>
      <c r="L39" s="4">
        <v>3</v>
      </c>
    </row>
    <row r="40" spans="1:15" ht="15.75" customHeight="1" x14ac:dyDescent="0.3">
      <c r="A40" s="24" t="s">
        <v>43</v>
      </c>
      <c r="B40" s="25">
        <v>3</v>
      </c>
      <c r="G40" s="4" t="s">
        <v>124</v>
      </c>
      <c r="H40" s="4">
        <v>10</v>
      </c>
      <c r="K40" s="4" t="s">
        <v>127</v>
      </c>
      <c r="L40" s="4">
        <v>2</v>
      </c>
    </row>
    <row r="41" spans="1:15" ht="15.75" customHeight="1" x14ac:dyDescent="0.3">
      <c r="A41" s="28" t="s">
        <v>78</v>
      </c>
      <c r="B41" s="29">
        <v>764.17</v>
      </c>
      <c r="K41" s="4" t="s">
        <v>128</v>
      </c>
      <c r="L41" s="4">
        <v>8</v>
      </c>
    </row>
    <row r="42" spans="1:15" ht="15.75" customHeight="1" x14ac:dyDescent="0.3"/>
    <row r="43" spans="1:15" ht="15.75" customHeight="1" x14ac:dyDescent="0.3"/>
    <row r="44" spans="1:15" ht="15.75" customHeight="1" x14ac:dyDescent="0.3"/>
    <row r="45" spans="1:15" ht="15.75" customHeight="1" x14ac:dyDescent="0.3"/>
    <row r="46" spans="1:15" ht="15.75" customHeight="1" x14ac:dyDescent="0.3"/>
    <row r="47" spans="1:15" ht="15.75" customHeight="1" x14ac:dyDescent="0.3"/>
    <row r="48" spans="1:15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ageMargins left="0.7" right="0.7" top="0.75" bottom="0.75" header="0" footer="0"/>
  <pageSetup orientation="landscape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AW999"/>
  <sheetViews>
    <sheetView tabSelected="1" topLeftCell="M1" zoomScale="70" zoomScaleNormal="70" workbookViewId="0">
      <pane ySplit="1" topLeftCell="A211" activePane="bottomLeft" state="frozen"/>
      <selection pane="bottomLeft" activeCell="W225" sqref="W225"/>
    </sheetView>
  </sheetViews>
  <sheetFormatPr baseColWidth="10" defaultColWidth="11.19921875" defaultRowHeight="15" customHeight="1" x14ac:dyDescent="0.3"/>
  <cols>
    <col min="1" max="1" width="11.8984375" customWidth="1"/>
    <col min="2" max="2" width="16.3984375" customWidth="1"/>
    <col min="3" max="3" width="13.59765625" customWidth="1"/>
    <col min="4" max="4" width="10.8984375" customWidth="1"/>
    <col min="5" max="5" width="17.19921875" customWidth="1"/>
    <col min="6" max="6" width="13.59765625" customWidth="1"/>
    <col min="7" max="7" width="16.3984375" customWidth="1"/>
    <col min="8" max="8" width="20" customWidth="1"/>
    <col min="9" max="9" width="29.69921875" customWidth="1"/>
    <col min="10" max="10" width="28.09765625" customWidth="1"/>
    <col min="11" max="11" width="21.09765625" customWidth="1"/>
    <col min="12" max="12" width="22.5" customWidth="1"/>
    <col min="13" max="13" width="21.59765625" customWidth="1"/>
    <col min="14" max="14" width="36.09765625" customWidth="1"/>
    <col min="15" max="15" width="39.5" customWidth="1"/>
    <col min="16" max="16" width="28.3984375" customWidth="1"/>
    <col min="17" max="17" width="21.59765625" customWidth="1"/>
    <col min="18" max="18" width="17.69921875" customWidth="1"/>
    <col min="19" max="19" width="22.69921875" customWidth="1"/>
    <col min="20" max="20" width="16.8984375" customWidth="1"/>
    <col min="21" max="21" width="14.5" customWidth="1"/>
    <col min="22" max="22" width="15.19921875" customWidth="1"/>
    <col min="23" max="24" width="14" customWidth="1"/>
    <col min="25" max="28" width="10.5" customWidth="1"/>
    <col min="29" max="29" width="12.8984375" customWidth="1"/>
    <col min="30" max="32" width="10.5" customWidth="1"/>
    <col min="33" max="33" width="32.59765625" customWidth="1"/>
    <col min="34" max="37" width="10.5" customWidth="1"/>
    <col min="38" max="38" width="43.69921875" customWidth="1"/>
    <col min="39" max="49" width="10.5" customWidth="1"/>
  </cols>
  <sheetData>
    <row r="1" spans="1:49" ht="15" customHeight="1" x14ac:dyDescent="0.3">
      <c r="A1" s="33" t="s">
        <v>1</v>
      </c>
      <c r="B1" s="33" t="s">
        <v>129</v>
      </c>
      <c r="C1" s="33" t="s">
        <v>9</v>
      </c>
      <c r="D1" s="33" t="s">
        <v>130</v>
      </c>
      <c r="E1" s="33" t="s">
        <v>131</v>
      </c>
      <c r="F1" s="33" t="s">
        <v>132</v>
      </c>
      <c r="G1" s="33" t="s">
        <v>133</v>
      </c>
      <c r="H1" s="33" t="s">
        <v>134</v>
      </c>
      <c r="I1" s="33" t="s">
        <v>135</v>
      </c>
      <c r="J1" s="33" t="s">
        <v>136</v>
      </c>
      <c r="K1" s="33" t="s">
        <v>137</v>
      </c>
      <c r="L1" s="33" t="s">
        <v>138</v>
      </c>
      <c r="M1" s="33" t="s">
        <v>139</v>
      </c>
      <c r="N1" s="33" t="s">
        <v>140</v>
      </c>
      <c r="O1" s="33" t="s">
        <v>141</v>
      </c>
      <c r="P1" s="33" t="s">
        <v>142</v>
      </c>
      <c r="Q1" s="33" t="s">
        <v>143</v>
      </c>
      <c r="R1" s="33" t="s">
        <v>144</v>
      </c>
      <c r="S1" s="34" t="s">
        <v>145</v>
      </c>
      <c r="T1" s="33" t="s">
        <v>146</v>
      </c>
      <c r="U1" s="33" t="s">
        <v>147</v>
      </c>
      <c r="V1" s="35" t="s">
        <v>148</v>
      </c>
      <c r="W1" s="35" t="s">
        <v>149</v>
      </c>
      <c r="X1" s="35" t="s">
        <v>7</v>
      </c>
      <c r="Y1" s="33" t="s">
        <v>8</v>
      </c>
      <c r="Z1" s="36" t="s">
        <v>9</v>
      </c>
      <c r="AC1" s="4"/>
      <c r="AD1" s="4"/>
      <c r="AE1" s="4"/>
      <c r="AF1" s="4"/>
    </row>
    <row r="2" spans="1:49" ht="15" customHeight="1" x14ac:dyDescent="0.3">
      <c r="A2" s="37">
        <v>45909</v>
      </c>
      <c r="B2" s="38">
        <v>1</v>
      </c>
      <c r="C2" s="39"/>
      <c r="D2" s="38"/>
      <c r="E2" s="38"/>
      <c r="F2" s="38"/>
      <c r="G2" s="38"/>
      <c r="H2" s="38">
        <v>1</v>
      </c>
      <c r="I2" s="38"/>
      <c r="J2" s="38"/>
      <c r="K2" s="38">
        <v>1</v>
      </c>
      <c r="L2" s="38"/>
      <c r="M2" s="38">
        <v>1</v>
      </c>
      <c r="N2" s="38">
        <v>1</v>
      </c>
      <c r="O2" s="38"/>
      <c r="P2" s="38"/>
      <c r="Q2" s="38"/>
      <c r="R2" s="38"/>
      <c r="S2" s="38"/>
      <c r="T2" s="38">
        <f t="shared" ref="T2:T251" si="0">SUM(D2:S2)</f>
        <v>4</v>
      </c>
      <c r="U2" s="40" cm="1">
        <f t="array" ref="U2">SUMPRODUCT(D2:S2,VLOOKUP($D$1:$S$1,$AG$8:$AH$23,2,FALSE))</f>
        <v>51500</v>
      </c>
      <c r="V2" s="4"/>
      <c r="W2" s="4"/>
      <c r="X2" s="4"/>
      <c r="AC2" s="11"/>
      <c r="AD2" s="11"/>
      <c r="AE2" s="11"/>
      <c r="AF2" s="11"/>
      <c r="AH2" s="41"/>
      <c r="AI2" s="41"/>
      <c r="AJ2" s="41"/>
      <c r="AK2" s="41"/>
      <c r="AL2" s="41"/>
      <c r="AM2" s="41"/>
      <c r="AN2" s="41"/>
      <c r="AO2" s="41"/>
      <c r="AP2" s="41"/>
      <c r="AQ2" s="41"/>
      <c r="AR2" s="41"/>
      <c r="AS2" s="41"/>
      <c r="AT2" s="41"/>
      <c r="AU2" s="41"/>
    </row>
    <row r="3" spans="1:49" ht="15" customHeight="1" x14ac:dyDescent="0.3">
      <c r="A3" s="37">
        <v>45909</v>
      </c>
      <c r="B3" s="38">
        <v>2</v>
      </c>
      <c r="C3" s="38"/>
      <c r="D3" s="38">
        <v>1</v>
      </c>
      <c r="E3" s="38"/>
      <c r="F3" s="38"/>
      <c r="G3" s="38"/>
      <c r="H3" s="38"/>
      <c r="I3" s="38"/>
      <c r="J3" s="38"/>
      <c r="K3" s="38">
        <v>2</v>
      </c>
      <c r="L3" s="38"/>
      <c r="M3" s="38"/>
      <c r="N3" s="38"/>
      <c r="O3" s="38"/>
      <c r="P3" s="38"/>
      <c r="Q3" s="38"/>
      <c r="R3" s="38"/>
      <c r="S3" s="38"/>
      <c r="T3" s="38">
        <f t="shared" si="0"/>
        <v>3</v>
      </c>
      <c r="U3" s="40" cm="1">
        <f t="array" ref="U3">SUMPRODUCT(D3:R3,VLOOKUP($D$1:$R$1,$AG$8:$AH$22,2,FALSE))</f>
        <v>45400</v>
      </c>
      <c r="V3" s="4"/>
      <c r="W3" s="4"/>
      <c r="X3" s="4"/>
      <c r="AI3" s="4" t="str">
        <f t="array" ref="AI3:AW3">TRANSPOSE($AG$8:$AG$22)</f>
        <v>semanal</v>
      </c>
      <c r="AJ3" s="4" t="str">
        <v>bolsillo feliz</v>
      </c>
      <c r="AK3" s="4" t="str">
        <v>mensual</v>
      </c>
      <c r="AL3" s="4" t="str">
        <v>niños</v>
      </c>
      <c r="AM3" s="4" t="str">
        <v>Arroz El Pais 1 Kg</v>
      </c>
      <c r="AN3" s="4" t="str">
        <v>Verduras Minuto Verde 1 Kg</v>
      </c>
      <c r="AO3" s="4" t="str">
        <v>Azucar Flor De Reyes 1 Kg</v>
      </c>
      <c r="AP3" s="4" t="str">
        <v>Atun Isadora 100 gr</v>
      </c>
      <c r="AQ3" s="4" t="str">
        <v>Aceite Full Frito 10 Lt</v>
      </c>
      <c r="AR3" s="4" t="str">
        <v>Fideos gentil 400 gr</v>
      </c>
      <c r="AS3" s="4" t="str">
        <v>Salmon al natural corcovado 160 gr</v>
      </c>
      <c r="AT3" s="4" t="str">
        <v>Surtidos de mariscos corcovado 190 gr</v>
      </c>
      <c r="AU3" s="4" t="str">
        <v>Poroto blanco de reyes 1kg</v>
      </c>
      <c r="AV3" s="4" t="str">
        <v>Jurel san jose 160gr</v>
      </c>
      <c r="AW3" s="4" t="str">
        <v>Jibia corcovado</v>
      </c>
    </row>
    <row r="4" spans="1:49" ht="15" customHeight="1" x14ac:dyDescent="0.3">
      <c r="A4" s="37">
        <v>45909</v>
      </c>
      <c r="B4" s="38">
        <v>3</v>
      </c>
      <c r="C4" s="38"/>
      <c r="D4" s="38"/>
      <c r="E4" s="38"/>
      <c r="F4" s="38"/>
      <c r="G4" s="38"/>
      <c r="H4" s="38"/>
      <c r="I4" s="38"/>
      <c r="J4" s="38"/>
      <c r="K4" s="38"/>
      <c r="L4" s="38">
        <v>1</v>
      </c>
      <c r="M4" s="38">
        <v>2</v>
      </c>
      <c r="N4" s="38"/>
      <c r="O4" s="38"/>
      <c r="P4" s="38"/>
      <c r="Q4" s="38"/>
      <c r="R4" s="38"/>
      <c r="S4" s="38"/>
      <c r="T4" s="38">
        <f t="shared" si="0"/>
        <v>3</v>
      </c>
      <c r="U4" s="40" cm="1">
        <f t="array" ref="U4">SUMPRODUCT(D4:R4,VLOOKUP($D$1:$R$1,$AG$8:$AH$22,2,FALSE))</f>
        <v>34900</v>
      </c>
      <c r="V4" s="4"/>
      <c r="W4" s="4"/>
      <c r="X4" s="4"/>
    </row>
    <row r="5" spans="1:49" ht="15" customHeight="1" x14ac:dyDescent="0.3">
      <c r="A5" s="37">
        <v>45909</v>
      </c>
      <c r="B5" s="38">
        <v>4</v>
      </c>
      <c r="C5" s="38"/>
      <c r="D5" s="38"/>
      <c r="E5" s="38"/>
      <c r="F5" s="38"/>
      <c r="G5" s="38"/>
      <c r="H5" s="38"/>
      <c r="I5" s="38"/>
      <c r="J5" s="38"/>
      <c r="K5" s="38"/>
      <c r="L5" s="38"/>
      <c r="M5" s="38"/>
      <c r="N5" s="38">
        <v>1</v>
      </c>
      <c r="O5" s="38"/>
      <c r="P5" s="38"/>
      <c r="Q5" s="38"/>
      <c r="R5" s="38"/>
      <c r="S5" s="38"/>
      <c r="T5" s="38">
        <f t="shared" si="0"/>
        <v>1</v>
      </c>
      <c r="U5" s="42" cm="1">
        <f t="array" ref="U5">SUMPRODUCT(D5:S5,VLOOKUP($D$1:$S$1,$AG$8:$AH$23,2,FALSE))</f>
        <v>24000</v>
      </c>
      <c r="V5" s="4"/>
      <c r="W5" s="4"/>
      <c r="X5" s="4"/>
    </row>
    <row r="6" spans="1:49" ht="15" customHeight="1" x14ac:dyDescent="0.3">
      <c r="A6" s="37">
        <v>45909</v>
      </c>
      <c r="B6" s="38">
        <v>5</v>
      </c>
      <c r="C6" s="38"/>
      <c r="D6" s="38"/>
      <c r="E6" s="38"/>
      <c r="F6" s="38"/>
      <c r="G6" s="38">
        <v>1</v>
      </c>
      <c r="H6" s="38">
        <v>1</v>
      </c>
      <c r="I6" s="38"/>
      <c r="J6" s="38"/>
      <c r="K6" s="38">
        <v>1</v>
      </c>
      <c r="L6" s="38"/>
      <c r="M6" s="38">
        <v>1</v>
      </c>
      <c r="N6" s="38"/>
      <c r="O6" s="38"/>
      <c r="P6" s="38"/>
      <c r="Q6" s="38">
        <v>1</v>
      </c>
      <c r="R6" s="38"/>
      <c r="S6" s="38"/>
      <c r="T6" s="38">
        <f t="shared" si="0"/>
        <v>5</v>
      </c>
      <c r="U6" s="42" cm="1">
        <f t="array" ref="U6">SUMPRODUCT(D6:R6,VLOOKUP($D$1:$R$1,$AG$8:$AH$22,2,FALSE))</f>
        <v>77400</v>
      </c>
      <c r="V6" s="4"/>
      <c r="W6" s="4"/>
      <c r="X6" s="4"/>
    </row>
    <row r="7" spans="1:49" ht="15" customHeight="1" x14ac:dyDescent="0.3">
      <c r="A7" s="37">
        <v>45909</v>
      </c>
      <c r="B7" s="38">
        <v>6</v>
      </c>
      <c r="C7" s="38"/>
      <c r="D7" s="38"/>
      <c r="E7" s="38"/>
      <c r="F7" s="38"/>
      <c r="G7" s="38"/>
      <c r="H7" s="38"/>
      <c r="I7" s="38"/>
      <c r="J7" s="38"/>
      <c r="K7" s="38"/>
      <c r="L7" s="38">
        <v>4</v>
      </c>
      <c r="M7" s="38"/>
      <c r="N7" s="38"/>
      <c r="O7" s="38"/>
      <c r="P7" s="38"/>
      <c r="Q7" s="38"/>
      <c r="R7" s="38"/>
      <c r="S7" s="38"/>
      <c r="T7" s="38">
        <f t="shared" si="0"/>
        <v>4</v>
      </c>
      <c r="U7" s="42" cm="1">
        <f t="array" ref="U7">SUMPRODUCT(D7:R7,VLOOKUP($D$1:$R$1,$AG$8:$AH$22,2,FALSE))</f>
        <v>79600</v>
      </c>
      <c r="V7" s="4"/>
      <c r="W7" s="4"/>
      <c r="X7" s="4"/>
      <c r="AG7" s="4" t="s">
        <v>150</v>
      </c>
    </row>
    <row r="8" spans="1:49" ht="15" customHeight="1" x14ac:dyDescent="0.3">
      <c r="A8" s="37">
        <v>45911</v>
      </c>
      <c r="B8" s="38">
        <v>7</v>
      </c>
      <c r="C8" s="38"/>
      <c r="D8" s="38"/>
      <c r="E8" s="38"/>
      <c r="F8" s="38"/>
      <c r="G8" s="38"/>
      <c r="H8" s="38"/>
      <c r="I8" s="38"/>
      <c r="J8" s="38"/>
      <c r="K8" s="38">
        <v>2</v>
      </c>
      <c r="L8" s="38"/>
      <c r="M8" s="38"/>
      <c r="N8" s="38">
        <v>1</v>
      </c>
      <c r="O8" s="38"/>
      <c r="P8" s="38"/>
      <c r="Q8" s="38">
        <v>1</v>
      </c>
      <c r="R8" s="38"/>
      <c r="S8" s="38"/>
      <c r="T8" s="38">
        <f t="shared" si="0"/>
        <v>4</v>
      </c>
      <c r="U8" s="42" cm="1">
        <f t="array" ref="U8">SUMPRODUCT(D8:R8,VLOOKUP($D$1:$R$1,$AG$8:$AH$22,2,FALSE))</f>
        <v>60000</v>
      </c>
      <c r="V8" s="4"/>
      <c r="W8" s="4"/>
      <c r="X8" s="4"/>
      <c r="AG8" s="4" t="s">
        <v>130</v>
      </c>
      <c r="AH8" s="4">
        <v>25400</v>
      </c>
    </row>
    <row r="9" spans="1:49" ht="15" customHeight="1" x14ac:dyDescent="0.3">
      <c r="A9" s="37">
        <v>45911</v>
      </c>
      <c r="B9" s="38">
        <v>8</v>
      </c>
      <c r="C9" s="38"/>
      <c r="D9" s="38"/>
      <c r="E9" s="38"/>
      <c r="F9" s="38"/>
      <c r="G9" s="38"/>
      <c r="H9" s="38"/>
      <c r="I9" s="38"/>
      <c r="J9" s="38"/>
      <c r="K9" s="38"/>
      <c r="L9" s="38"/>
      <c r="M9" s="38">
        <v>1</v>
      </c>
      <c r="N9" s="38">
        <v>1</v>
      </c>
      <c r="O9" s="38"/>
      <c r="P9" s="38"/>
      <c r="Q9" s="38">
        <v>1</v>
      </c>
      <c r="R9" s="38"/>
      <c r="S9" s="38"/>
      <c r="T9" s="38">
        <f t="shared" si="0"/>
        <v>3</v>
      </c>
      <c r="U9" s="42" cm="1">
        <f t="array" ref="U9">SUMPRODUCT(D9:R9,VLOOKUP($D$1:$R$1,$AG$8:$AH$22,2,FALSE))</f>
        <v>47500</v>
      </c>
      <c r="V9" s="4"/>
      <c r="W9" s="4"/>
      <c r="X9" s="4"/>
      <c r="AG9" s="4" t="s">
        <v>131</v>
      </c>
      <c r="AH9" s="4">
        <v>31500</v>
      </c>
    </row>
    <row r="10" spans="1:49" ht="15" customHeight="1" x14ac:dyDescent="0.3">
      <c r="A10" s="37">
        <v>45911</v>
      </c>
      <c r="B10" s="38">
        <v>9</v>
      </c>
      <c r="C10" s="38"/>
      <c r="D10" s="38"/>
      <c r="E10" s="38"/>
      <c r="F10" s="38"/>
      <c r="G10" s="38"/>
      <c r="H10" s="38">
        <v>6</v>
      </c>
      <c r="I10" s="38"/>
      <c r="J10" s="38"/>
      <c r="K10" s="38"/>
      <c r="L10" s="38"/>
      <c r="M10" s="38">
        <v>10</v>
      </c>
      <c r="N10" s="38"/>
      <c r="O10" s="38"/>
      <c r="P10" s="38">
        <v>1</v>
      </c>
      <c r="Q10" s="38"/>
      <c r="R10" s="38">
        <v>1</v>
      </c>
      <c r="S10" s="38"/>
      <c r="T10" s="38">
        <f t="shared" si="0"/>
        <v>18</v>
      </c>
      <c r="U10" s="42" cm="1">
        <f t="array" ref="U10">SUMPRODUCT(D10:R10,VLOOKUP($D$1:$R$1,$AG$8:$AH$22,2,FALSE))</f>
        <v>170000</v>
      </c>
      <c r="V10" s="4"/>
      <c r="W10" s="4"/>
      <c r="X10" s="4"/>
      <c r="AG10" s="4" t="s">
        <v>132</v>
      </c>
      <c r="AH10" s="4">
        <v>81200</v>
      </c>
    </row>
    <row r="11" spans="1:49" ht="15" customHeight="1" x14ac:dyDescent="0.3">
      <c r="A11" s="37">
        <v>45912</v>
      </c>
      <c r="B11" s="38">
        <v>10</v>
      </c>
      <c r="C11" s="38"/>
      <c r="D11" s="38"/>
      <c r="E11" s="38"/>
      <c r="F11" s="38"/>
      <c r="G11" s="38">
        <v>1</v>
      </c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>
        <f t="shared" si="0"/>
        <v>1</v>
      </c>
      <c r="U11" s="42" cm="1">
        <f t="array" ref="U11">SUMPRODUCT(D11:R11,VLOOKUP($D$1:$R$1,$AG$8:$AH$22,2,FALSE))</f>
        <v>33900</v>
      </c>
      <c r="V11" s="4"/>
      <c r="W11" s="4"/>
      <c r="X11" s="4"/>
      <c r="AG11" s="4" t="s">
        <v>133</v>
      </c>
      <c r="AH11" s="4">
        <v>33900</v>
      </c>
    </row>
    <row r="12" spans="1:49" ht="15" customHeight="1" x14ac:dyDescent="0.3">
      <c r="A12" s="37">
        <v>45912</v>
      </c>
      <c r="B12" s="38">
        <v>11</v>
      </c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>
        <v>1</v>
      </c>
      <c r="O12" s="38"/>
      <c r="P12" s="38"/>
      <c r="Q12" s="38"/>
      <c r="R12" s="38">
        <v>1</v>
      </c>
      <c r="S12" s="38"/>
      <c r="T12" s="38">
        <f t="shared" si="0"/>
        <v>2</v>
      </c>
      <c r="U12" s="42" cm="1">
        <f t="array" ref="U12">SUMPRODUCT(D12:R12,VLOOKUP($D$1:$R$1,$AG$8:$AH$22,2,FALSE))</f>
        <v>34000</v>
      </c>
      <c r="V12" s="4"/>
      <c r="W12" s="4"/>
      <c r="X12" s="4"/>
      <c r="AG12" s="43" t="s">
        <v>134</v>
      </c>
      <c r="AH12" s="4">
        <v>10000</v>
      </c>
      <c r="AJ12" s="4">
        <v>10</v>
      </c>
      <c r="AL12" s="43"/>
      <c r="AM12" s="4"/>
    </row>
    <row r="13" spans="1:49" ht="15" customHeight="1" x14ac:dyDescent="0.3">
      <c r="A13" s="37">
        <v>45912</v>
      </c>
      <c r="B13" s="38">
        <v>12</v>
      </c>
      <c r="C13" s="38"/>
      <c r="D13" s="38"/>
      <c r="E13" s="38"/>
      <c r="F13" s="38"/>
      <c r="G13" s="38"/>
      <c r="H13" s="38">
        <v>1</v>
      </c>
      <c r="I13" s="38"/>
      <c r="J13" s="38"/>
      <c r="K13" s="38"/>
      <c r="L13" s="38"/>
      <c r="M13" s="38">
        <v>2</v>
      </c>
      <c r="N13" s="38"/>
      <c r="O13" s="38"/>
      <c r="P13" s="38">
        <v>1</v>
      </c>
      <c r="Q13" s="38"/>
      <c r="R13" s="38"/>
      <c r="S13" s="38"/>
      <c r="T13" s="38">
        <f t="shared" si="0"/>
        <v>4</v>
      </c>
      <c r="U13" s="42">
        <v>99000</v>
      </c>
      <c r="V13" s="4"/>
      <c r="W13" s="4"/>
      <c r="X13" s="4"/>
      <c r="Y13" s="4" t="s">
        <v>151</v>
      </c>
      <c r="AG13" s="43" t="s">
        <v>135</v>
      </c>
      <c r="AH13" s="4">
        <v>15000</v>
      </c>
      <c r="AL13" s="43"/>
      <c r="AM13" s="4"/>
    </row>
    <row r="14" spans="1:49" ht="15" customHeight="1" x14ac:dyDescent="0.3">
      <c r="A14" s="37">
        <v>45912</v>
      </c>
      <c r="B14" s="38">
        <v>13</v>
      </c>
      <c r="C14" s="38"/>
      <c r="D14" s="38"/>
      <c r="E14" s="38"/>
      <c r="F14" s="38"/>
      <c r="G14" s="38"/>
      <c r="H14" s="38">
        <v>1</v>
      </c>
      <c r="I14" s="38"/>
      <c r="J14" s="38"/>
      <c r="K14" s="38">
        <v>1</v>
      </c>
      <c r="L14" s="38"/>
      <c r="M14" s="38"/>
      <c r="N14" s="38"/>
      <c r="O14" s="38">
        <v>1</v>
      </c>
      <c r="P14" s="38"/>
      <c r="Q14" s="38"/>
      <c r="R14" s="38"/>
      <c r="S14" s="38"/>
      <c r="T14" s="38">
        <f t="shared" si="0"/>
        <v>3</v>
      </c>
      <c r="U14" s="42" cm="1">
        <f t="array" ref="U14">SUMPRODUCT(D14:R14,VLOOKUP($D$1:$R$1,$AG$8:$AH$22,2,FALSE))</f>
        <v>36000</v>
      </c>
      <c r="V14" s="4"/>
      <c r="W14" s="4"/>
      <c r="X14" s="4"/>
      <c r="AG14" s="43" t="s">
        <v>136</v>
      </c>
      <c r="AH14" s="4">
        <v>15000</v>
      </c>
      <c r="AL14" s="44"/>
      <c r="AM14" s="4"/>
    </row>
    <row r="15" spans="1:49" ht="15" customHeight="1" x14ac:dyDescent="0.3">
      <c r="A15" s="37">
        <v>45912</v>
      </c>
      <c r="B15" s="38">
        <v>14</v>
      </c>
      <c r="C15" s="38"/>
      <c r="D15" s="38"/>
      <c r="E15" s="38"/>
      <c r="F15" s="38"/>
      <c r="G15" s="38"/>
      <c r="H15" s="38"/>
      <c r="I15" s="38"/>
      <c r="J15" s="38"/>
      <c r="K15" s="38"/>
      <c r="L15" s="38">
        <v>2</v>
      </c>
      <c r="M15" s="38"/>
      <c r="N15" s="38"/>
      <c r="O15" s="38"/>
      <c r="P15" s="38"/>
      <c r="Q15" s="38"/>
      <c r="R15" s="38"/>
      <c r="S15" s="38"/>
      <c r="T15" s="38">
        <f t="shared" si="0"/>
        <v>2</v>
      </c>
      <c r="U15" s="42">
        <v>127880</v>
      </c>
      <c r="V15" s="4"/>
      <c r="W15" s="4"/>
      <c r="X15" s="4"/>
      <c r="Y15" s="4" t="s">
        <v>152</v>
      </c>
      <c r="AG15" s="43" t="s">
        <v>137</v>
      </c>
      <c r="AH15" s="4">
        <v>10000</v>
      </c>
      <c r="AJ15" s="4">
        <v>20</v>
      </c>
      <c r="AL15" s="38"/>
      <c r="AM15" s="4"/>
    </row>
    <row r="16" spans="1:49" ht="15" customHeight="1" x14ac:dyDescent="0.3">
      <c r="A16" s="37">
        <v>45912</v>
      </c>
      <c r="B16" s="38">
        <v>15</v>
      </c>
      <c r="C16" s="38"/>
      <c r="D16" s="38"/>
      <c r="E16" s="38"/>
      <c r="F16" s="38"/>
      <c r="G16" s="38"/>
      <c r="H16" s="38"/>
      <c r="I16" s="38">
        <v>1</v>
      </c>
      <c r="J16" s="38"/>
      <c r="K16" s="38"/>
      <c r="L16" s="38">
        <v>1</v>
      </c>
      <c r="M16" s="38"/>
      <c r="N16" s="38"/>
      <c r="O16" s="38"/>
      <c r="P16" s="38"/>
      <c r="Q16" s="38"/>
      <c r="R16" s="38"/>
      <c r="S16" s="38"/>
      <c r="T16" s="38">
        <f t="shared" si="0"/>
        <v>2</v>
      </c>
      <c r="U16" s="42" cm="1">
        <f t="array" ref="U16">SUMPRODUCT(D16:R16,VLOOKUP($D$1:$R$1,$AG$8:$AH$22,2,FALSE))</f>
        <v>34900</v>
      </c>
      <c r="V16" s="4"/>
      <c r="W16" s="4"/>
      <c r="X16" s="4"/>
      <c r="AG16" s="44" t="s">
        <v>138</v>
      </c>
      <c r="AH16" s="4">
        <v>19900</v>
      </c>
      <c r="AJ16" s="4">
        <v>1</v>
      </c>
      <c r="AL16" s="38"/>
      <c r="AM16" s="4"/>
    </row>
    <row r="17" spans="1:39" ht="15" customHeight="1" x14ac:dyDescent="0.3">
      <c r="A17" s="37">
        <v>45912</v>
      </c>
      <c r="B17" s="38">
        <v>16</v>
      </c>
      <c r="C17" s="38"/>
      <c r="D17" s="38"/>
      <c r="E17" s="38"/>
      <c r="F17" s="38">
        <v>1</v>
      </c>
      <c r="G17" s="38"/>
      <c r="H17" s="38"/>
      <c r="I17" s="45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>
        <f t="shared" si="0"/>
        <v>1</v>
      </c>
      <c r="U17" s="42">
        <v>80000</v>
      </c>
      <c r="V17" s="4"/>
      <c r="W17" s="4"/>
      <c r="X17" s="4"/>
      <c r="Y17" s="4" t="s">
        <v>153</v>
      </c>
      <c r="AG17" s="38" t="s">
        <v>139</v>
      </c>
      <c r="AH17" s="4">
        <v>7500</v>
      </c>
      <c r="AL17" s="38"/>
      <c r="AM17" s="4"/>
    </row>
    <row r="18" spans="1:39" ht="15" customHeight="1" x14ac:dyDescent="0.3">
      <c r="A18" s="37">
        <v>45912</v>
      </c>
      <c r="B18" s="38">
        <v>17</v>
      </c>
      <c r="C18" s="38"/>
      <c r="D18" s="38"/>
      <c r="E18" s="38"/>
      <c r="F18" s="38"/>
      <c r="G18" s="38"/>
      <c r="H18" s="38"/>
      <c r="I18" s="45"/>
      <c r="J18" s="38"/>
      <c r="K18" s="38"/>
      <c r="L18" s="38">
        <v>1</v>
      </c>
      <c r="M18" s="38"/>
      <c r="N18" s="38">
        <v>1</v>
      </c>
      <c r="O18" s="38"/>
      <c r="P18" s="38"/>
      <c r="Q18" s="38"/>
      <c r="R18" s="38"/>
      <c r="S18" s="38"/>
      <c r="T18" s="38">
        <f t="shared" si="0"/>
        <v>2</v>
      </c>
      <c r="U18" s="42" cm="1">
        <f t="array" ref="U18">SUMPRODUCT(D18:R18,VLOOKUP($D$1:$R$1,$AG$8:$AH$22,2,FALSE))</f>
        <v>43900</v>
      </c>
      <c r="V18" s="4"/>
      <c r="W18" s="4"/>
      <c r="X18" s="4"/>
      <c r="AG18" s="38" t="s">
        <v>140</v>
      </c>
      <c r="AH18" s="4">
        <v>24000</v>
      </c>
      <c r="AJ18" s="4">
        <v>20</v>
      </c>
      <c r="AL18" s="38"/>
      <c r="AM18" s="4"/>
    </row>
    <row r="19" spans="1:39" ht="15" customHeight="1" x14ac:dyDescent="0.3">
      <c r="A19" s="37">
        <v>45912</v>
      </c>
      <c r="B19" s="38">
        <v>18</v>
      </c>
      <c r="C19" s="38"/>
      <c r="D19" s="38"/>
      <c r="E19" s="38"/>
      <c r="F19" s="38"/>
      <c r="G19" s="38"/>
      <c r="H19" s="38"/>
      <c r="I19" s="45"/>
      <c r="J19" s="38"/>
      <c r="K19" s="38">
        <v>1</v>
      </c>
      <c r="L19" s="38"/>
      <c r="M19" s="38"/>
      <c r="N19" s="38"/>
      <c r="O19" s="38"/>
      <c r="P19" s="38"/>
      <c r="Q19" s="38">
        <v>1</v>
      </c>
      <c r="R19" s="38"/>
      <c r="S19" s="38"/>
      <c r="T19" s="38">
        <f t="shared" si="0"/>
        <v>2</v>
      </c>
      <c r="U19" s="42" cm="1">
        <f t="array" ref="U19">SUMPRODUCT(D19:R19,VLOOKUP($D$1:$R$1,$AG$8:$AH$22,2,FALSE))</f>
        <v>26000</v>
      </c>
      <c r="V19" s="4"/>
      <c r="W19" s="4"/>
      <c r="X19" s="4"/>
      <c r="AG19" s="38" t="s">
        <v>141</v>
      </c>
      <c r="AH19" s="4">
        <v>16000</v>
      </c>
      <c r="AJ19" s="4">
        <v>20</v>
      </c>
      <c r="AL19" s="38"/>
      <c r="AM19" s="4"/>
    </row>
    <row r="20" spans="1:39" ht="15" customHeight="1" x14ac:dyDescent="0.3">
      <c r="A20" s="37">
        <v>45913</v>
      </c>
      <c r="B20" s="38">
        <v>19</v>
      </c>
      <c r="C20" s="38"/>
      <c r="D20" s="38"/>
      <c r="E20" s="38"/>
      <c r="F20" s="38"/>
      <c r="G20" s="38"/>
      <c r="H20" s="38"/>
      <c r="I20" s="45"/>
      <c r="J20" s="38"/>
      <c r="K20" s="38"/>
      <c r="L20" s="38"/>
      <c r="M20" s="38">
        <v>1</v>
      </c>
      <c r="N20" s="38">
        <v>1</v>
      </c>
      <c r="O20" s="38"/>
      <c r="P20" s="38"/>
      <c r="Q20" s="38"/>
      <c r="R20" s="38"/>
      <c r="S20" s="38"/>
      <c r="T20" s="38">
        <f t="shared" si="0"/>
        <v>2</v>
      </c>
      <c r="U20" s="42" cm="1">
        <f t="array" ref="U20">SUMPRODUCT(D20:R20,VLOOKUP($D$1:$R$1,$AG$8:$AH$22,2,FALSE))</f>
        <v>31500</v>
      </c>
      <c r="V20" s="4"/>
      <c r="W20" s="4"/>
      <c r="X20" s="4"/>
      <c r="AG20" s="38" t="s">
        <v>142</v>
      </c>
      <c r="AH20" s="4">
        <v>25000</v>
      </c>
      <c r="AJ20" s="4">
        <v>10</v>
      </c>
      <c r="AL20" s="34"/>
      <c r="AM20" s="4"/>
    </row>
    <row r="21" spans="1:39" ht="15" customHeight="1" x14ac:dyDescent="0.3">
      <c r="A21" s="37">
        <v>45913</v>
      </c>
      <c r="B21" s="38">
        <v>20</v>
      </c>
      <c r="C21" s="38"/>
      <c r="D21" s="38"/>
      <c r="E21" s="38"/>
      <c r="F21" s="38"/>
      <c r="G21" s="38"/>
      <c r="H21" s="38">
        <v>2</v>
      </c>
      <c r="I21" s="45"/>
      <c r="J21" s="38"/>
      <c r="K21" s="38">
        <v>1</v>
      </c>
      <c r="L21" s="38"/>
      <c r="M21" s="38">
        <v>2</v>
      </c>
      <c r="N21" s="38"/>
      <c r="O21" s="38"/>
      <c r="P21" s="38"/>
      <c r="Q21" s="38"/>
      <c r="R21" s="38"/>
      <c r="S21" s="38"/>
      <c r="T21" s="38">
        <f t="shared" si="0"/>
        <v>5</v>
      </c>
      <c r="U21" s="42" cm="1">
        <f t="array" ref="U21">SUMPRODUCT(D21:R21,VLOOKUP($D$1:$R$1,$AG$8:$AH$22,2,FALSE))</f>
        <v>45000</v>
      </c>
      <c r="V21" s="4"/>
      <c r="W21" s="4"/>
      <c r="X21" s="4"/>
      <c r="Y21" s="11"/>
      <c r="AG21" s="38" t="s">
        <v>143</v>
      </c>
      <c r="AH21" s="4">
        <v>16000</v>
      </c>
      <c r="AJ21" s="4">
        <v>20</v>
      </c>
    </row>
    <row r="22" spans="1:39" ht="15" customHeight="1" x14ac:dyDescent="0.3">
      <c r="A22" s="37">
        <v>45913</v>
      </c>
      <c r="B22" s="38">
        <v>21</v>
      </c>
      <c r="C22" s="38"/>
      <c r="D22" s="38"/>
      <c r="E22" s="38"/>
      <c r="F22" s="38"/>
      <c r="G22" s="38"/>
      <c r="H22" s="38">
        <v>1</v>
      </c>
      <c r="I22" s="38"/>
      <c r="J22" s="38"/>
      <c r="K22" s="38">
        <v>1</v>
      </c>
      <c r="L22" s="38"/>
      <c r="M22" s="38"/>
      <c r="N22" s="38"/>
      <c r="O22" s="38">
        <v>1</v>
      </c>
      <c r="P22" s="38"/>
      <c r="Q22" s="38">
        <v>1</v>
      </c>
      <c r="R22" s="38"/>
      <c r="S22" s="38"/>
      <c r="T22" s="38">
        <f t="shared" si="0"/>
        <v>4</v>
      </c>
      <c r="U22" s="42" cm="1">
        <f t="array" ref="U22">SUMPRODUCT(D22:R22,VLOOKUP($D$1:$R$1,$AG$8:$AH$22,2,FALSE))</f>
        <v>52000</v>
      </c>
      <c r="V22" s="4"/>
      <c r="W22" s="4"/>
      <c r="X22" s="4"/>
      <c r="AG22" s="38" t="s">
        <v>144</v>
      </c>
      <c r="AH22" s="4">
        <v>10000</v>
      </c>
      <c r="AJ22" s="4">
        <v>10</v>
      </c>
    </row>
    <row r="23" spans="1:39" ht="15" customHeight="1" x14ac:dyDescent="0.3">
      <c r="A23" s="37">
        <v>45914</v>
      </c>
      <c r="B23" s="38">
        <v>22</v>
      </c>
      <c r="C23" s="38"/>
      <c r="D23" s="38"/>
      <c r="E23" s="38"/>
      <c r="F23" s="38"/>
      <c r="G23" s="38"/>
      <c r="H23" s="38">
        <v>1</v>
      </c>
      <c r="I23" s="38"/>
      <c r="J23" s="38"/>
      <c r="K23" s="38">
        <v>2</v>
      </c>
      <c r="L23" s="38"/>
      <c r="M23" s="38">
        <v>1</v>
      </c>
      <c r="N23" s="38"/>
      <c r="O23" s="38"/>
      <c r="P23" s="38"/>
      <c r="Q23" s="38"/>
      <c r="R23" s="38"/>
      <c r="S23" s="38"/>
      <c r="T23" s="38">
        <f t="shared" si="0"/>
        <v>4</v>
      </c>
      <c r="U23" s="42" cm="1">
        <f t="array" ref="U23">SUMPRODUCT(D23:R23,VLOOKUP($D$1:$R$1,$AG$8:$AH$22,2,FALSE))</f>
        <v>37500</v>
      </c>
      <c r="V23" s="4"/>
      <c r="W23" s="4"/>
      <c r="X23" s="4"/>
      <c r="AG23" s="34" t="s">
        <v>145</v>
      </c>
      <c r="AH23" s="4">
        <v>14000</v>
      </c>
      <c r="AJ23" s="4">
        <v>20</v>
      </c>
    </row>
    <row r="24" spans="1:39" ht="15" customHeight="1" x14ac:dyDescent="0.3">
      <c r="A24" s="37">
        <v>45914</v>
      </c>
      <c r="B24" s="38">
        <v>23</v>
      </c>
      <c r="C24" s="38"/>
      <c r="D24" s="38"/>
      <c r="E24" s="38">
        <v>1</v>
      </c>
      <c r="F24" s="38"/>
      <c r="G24" s="38">
        <v>1</v>
      </c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38"/>
      <c r="T24" s="38">
        <f t="shared" si="0"/>
        <v>2</v>
      </c>
      <c r="U24" s="42" cm="1">
        <f t="array" ref="U24">SUMPRODUCT(D24:R24,VLOOKUP($D$1:$R$1,$AG$8:$AH$22,2,FALSE))</f>
        <v>65400</v>
      </c>
      <c r="V24" s="4"/>
      <c r="W24" s="4"/>
      <c r="X24" s="4"/>
    </row>
    <row r="25" spans="1:39" ht="15" customHeight="1" x14ac:dyDescent="0.3">
      <c r="A25" s="37">
        <v>45914</v>
      </c>
      <c r="B25" s="38">
        <v>24</v>
      </c>
      <c r="C25" s="38"/>
      <c r="D25" s="38"/>
      <c r="E25" s="38">
        <v>1</v>
      </c>
      <c r="F25" s="38"/>
      <c r="G25" s="38"/>
      <c r="H25" s="38"/>
      <c r="I25" s="38"/>
      <c r="J25" s="38"/>
      <c r="K25" s="38">
        <v>1</v>
      </c>
      <c r="L25" s="38"/>
      <c r="M25" s="38"/>
      <c r="N25" s="38"/>
      <c r="O25" s="38"/>
      <c r="P25" s="38"/>
      <c r="Q25" s="38"/>
      <c r="R25" s="38"/>
      <c r="S25" s="38"/>
      <c r="T25" s="38">
        <f t="shared" si="0"/>
        <v>2</v>
      </c>
      <c r="U25" s="42" cm="1">
        <f t="array" ref="U25">SUMPRODUCT(D25:R25,VLOOKUP($D$1:$R$1,$AG$8:$AH$22,2,FALSE))</f>
        <v>41500</v>
      </c>
      <c r="V25" s="4"/>
      <c r="W25" s="4"/>
      <c r="X25" s="4"/>
    </row>
    <row r="26" spans="1:39" ht="15" customHeight="1" x14ac:dyDescent="0.3">
      <c r="A26" s="37">
        <v>45916</v>
      </c>
      <c r="B26" s="38">
        <v>25</v>
      </c>
      <c r="C26" s="38"/>
      <c r="D26" s="38"/>
      <c r="E26" s="38"/>
      <c r="F26" s="38">
        <v>1</v>
      </c>
      <c r="G26" s="38"/>
      <c r="H26" s="38"/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>
        <f t="shared" si="0"/>
        <v>1</v>
      </c>
      <c r="U26" s="42">
        <v>80000</v>
      </c>
      <c r="V26" s="4"/>
      <c r="W26" s="4"/>
      <c r="X26" s="4"/>
      <c r="Y26" s="4" t="s">
        <v>153</v>
      </c>
    </row>
    <row r="27" spans="1:39" ht="15" customHeight="1" x14ac:dyDescent="0.3">
      <c r="A27" s="37">
        <v>45916</v>
      </c>
      <c r="B27" s="38">
        <v>26</v>
      </c>
      <c r="C27" s="38"/>
      <c r="D27" s="38"/>
      <c r="E27" s="38"/>
      <c r="F27" s="38"/>
      <c r="G27" s="38"/>
      <c r="H27" s="38">
        <v>1</v>
      </c>
      <c r="I27" s="38"/>
      <c r="J27" s="38"/>
      <c r="K27" s="38"/>
      <c r="L27" s="38"/>
      <c r="M27" s="38">
        <v>4</v>
      </c>
      <c r="N27" s="38"/>
      <c r="O27" s="38"/>
      <c r="P27" s="38"/>
      <c r="Q27" s="38"/>
      <c r="R27" s="38"/>
      <c r="S27" s="38"/>
      <c r="T27" s="38">
        <f t="shared" si="0"/>
        <v>5</v>
      </c>
      <c r="U27" s="42" cm="1">
        <f t="array" ref="U27">SUMPRODUCT(D27:R27,VLOOKUP($D$1:$R$1,$AG$8:$AH$22,2,FALSE))</f>
        <v>40000</v>
      </c>
      <c r="V27" s="4"/>
      <c r="W27" s="4"/>
      <c r="X27" s="4"/>
    </row>
    <row r="28" spans="1:39" ht="15" customHeight="1" x14ac:dyDescent="0.3">
      <c r="A28" s="37">
        <v>45916</v>
      </c>
      <c r="B28" s="38">
        <v>27</v>
      </c>
      <c r="C28" s="38"/>
      <c r="D28" s="38"/>
      <c r="E28" s="38">
        <v>1</v>
      </c>
      <c r="F28" s="38"/>
      <c r="G28" s="38"/>
      <c r="H28" s="38"/>
      <c r="I28" s="38"/>
      <c r="J28" s="38"/>
      <c r="K28" s="38"/>
      <c r="L28" s="38"/>
      <c r="M28" s="38"/>
      <c r="N28" s="38"/>
      <c r="O28" s="38"/>
      <c r="P28" s="38"/>
      <c r="Q28" s="38"/>
      <c r="R28" s="38"/>
      <c r="S28" s="38"/>
      <c r="T28" s="38">
        <f t="shared" si="0"/>
        <v>1</v>
      </c>
      <c r="U28" s="42" cm="1">
        <f t="array" ref="U28">SUMPRODUCT(D28:R28,VLOOKUP($D$1:$R$1,$AG$8:$AH$22,2,FALSE))</f>
        <v>31500</v>
      </c>
      <c r="V28" s="4"/>
      <c r="W28" s="4"/>
      <c r="X28" s="4"/>
    </row>
    <row r="29" spans="1:39" ht="15" customHeight="1" x14ac:dyDescent="0.3">
      <c r="A29" s="37">
        <v>45916</v>
      </c>
      <c r="B29" s="38">
        <v>28</v>
      </c>
      <c r="C29" s="38"/>
      <c r="D29" s="38"/>
      <c r="E29" s="38">
        <v>1</v>
      </c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38">
        <f t="shared" si="0"/>
        <v>1</v>
      </c>
      <c r="U29" s="42" cm="1">
        <f t="array" ref="U29">SUMPRODUCT(D29:R29,VLOOKUP($D$1:$R$1,$AG$8:$AH$22,2,FALSE))</f>
        <v>31500</v>
      </c>
      <c r="V29" s="4"/>
      <c r="W29" s="4"/>
      <c r="X29" s="4"/>
    </row>
    <row r="30" spans="1:39" ht="15" customHeight="1" x14ac:dyDescent="0.3">
      <c r="A30" s="37">
        <v>45916</v>
      </c>
      <c r="B30" s="38">
        <v>29</v>
      </c>
      <c r="C30" s="38"/>
      <c r="D30" s="38"/>
      <c r="E30" s="38"/>
      <c r="F30" s="38"/>
      <c r="G30" s="38"/>
      <c r="H30" s="38">
        <v>2</v>
      </c>
      <c r="I30" s="38"/>
      <c r="J30" s="38"/>
      <c r="K30" s="38"/>
      <c r="L30" s="38"/>
      <c r="M30" s="38"/>
      <c r="N30" s="38"/>
      <c r="O30" s="38"/>
      <c r="P30" s="38"/>
      <c r="Q30" s="38"/>
      <c r="R30" s="38">
        <v>2</v>
      </c>
      <c r="S30" s="38"/>
      <c r="T30" s="38">
        <f t="shared" si="0"/>
        <v>4</v>
      </c>
      <c r="U30" s="42" cm="1">
        <f t="array" ref="U30">SUMPRODUCT(D30:R30,VLOOKUP($D$1:$R$1,$AG$8:$AH$22,2,FALSE))</f>
        <v>40000</v>
      </c>
      <c r="V30" s="4"/>
      <c r="W30" s="4"/>
      <c r="X30" s="4"/>
    </row>
    <row r="31" spans="1:39" ht="15" customHeight="1" x14ac:dyDescent="0.3">
      <c r="A31" s="37">
        <v>45916</v>
      </c>
      <c r="B31" s="38">
        <v>30</v>
      </c>
      <c r="C31" s="38"/>
      <c r="D31" s="38"/>
      <c r="E31" s="38"/>
      <c r="F31" s="38"/>
      <c r="G31" s="38"/>
      <c r="H31" s="38">
        <v>1</v>
      </c>
      <c r="I31" s="38"/>
      <c r="J31" s="38"/>
      <c r="K31" s="38"/>
      <c r="L31" s="38"/>
      <c r="M31" s="38">
        <v>2</v>
      </c>
      <c r="N31" s="38"/>
      <c r="O31" s="38"/>
      <c r="P31" s="38"/>
      <c r="Q31" s="38"/>
      <c r="R31" s="38"/>
      <c r="S31" s="38"/>
      <c r="T31" s="38">
        <f t="shared" si="0"/>
        <v>3</v>
      </c>
      <c r="U31" s="42" cm="1">
        <f t="array" ref="U31">SUMPRODUCT(D31:R31,VLOOKUP($D$1:$R$1,$AG$8:$AH$22,2,FALSE))</f>
        <v>25000</v>
      </c>
      <c r="V31" s="4"/>
      <c r="W31" s="4"/>
      <c r="X31" s="4"/>
    </row>
    <row r="32" spans="1:39" ht="15" customHeight="1" x14ac:dyDescent="0.3">
      <c r="A32" s="37">
        <v>45917</v>
      </c>
      <c r="B32" s="38">
        <v>31</v>
      </c>
      <c r="C32" s="38"/>
      <c r="D32" s="38"/>
      <c r="E32" s="38">
        <v>1</v>
      </c>
      <c r="F32" s="38"/>
      <c r="G32" s="38"/>
      <c r="H32" s="38">
        <v>1</v>
      </c>
      <c r="I32" s="38"/>
      <c r="J32" s="38"/>
      <c r="K32" s="38"/>
      <c r="L32" s="38"/>
      <c r="M32" s="38">
        <v>1</v>
      </c>
      <c r="N32" s="38"/>
      <c r="O32" s="38"/>
      <c r="P32" s="38"/>
      <c r="Q32" s="38"/>
      <c r="R32" s="38"/>
      <c r="S32" s="38"/>
      <c r="T32" s="38">
        <f t="shared" si="0"/>
        <v>3</v>
      </c>
      <c r="U32" s="42" cm="1">
        <f t="array" ref="U32">SUMPRODUCT(D32:R32,VLOOKUP($D$1:$R$1,$AG$8:$AH$22,2,FALSE))</f>
        <v>49000</v>
      </c>
      <c r="V32" s="4"/>
      <c r="W32" s="4"/>
      <c r="X32" s="4"/>
    </row>
    <row r="33" spans="1:25" ht="15" customHeight="1" x14ac:dyDescent="0.3">
      <c r="A33" s="37">
        <v>45917</v>
      </c>
      <c r="B33" s="38">
        <v>32</v>
      </c>
      <c r="C33" s="38"/>
      <c r="D33" s="38"/>
      <c r="E33" s="38"/>
      <c r="F33" s="38"/>
      <c r="G33" s="38"/>
      <c r="H33" s="38"/>
      <c r="I33" s="38"/>
      <c r="J33" s="38"/>
      <c r="K33" s="38"/>
      <c r="L33" s="38">
        <v>2</v>
      </c>
      <c r="M33" s="38"/>
      <c r="N33" s="38"/>
      <c r="O33" s="38"/>
      <c r="P33" s="38"/>
      <c r="Q33" s="38"/>
      <c r="R33" s="38"/>
      <c r="S33" s="38"/>
      <c r="T33" s="38">
        <f t="shared" si="0"/>
        <v>2</v>
      </c>
      <c r="U33" s="42" cm="1">
        <f t="array" ref="U33">SUMPRODUCT(D33:R33,VLOOKUP($D$1:$R$1,$AG$8:$AH$22,2,FALSE))</f>
        <v>39800</v>
      </c>
      <c r="V33" s="4"/>
      <c r="W33" s="4"/>
      <c r="X33" s="4"/>
    </row>
    <row r="34" spans="1:25" ht="15" customHeight="1" x14ac:dyDescent="0.3">
      <c r="A34" s="37">
        <v>45917</v>
      </c>
      <c r="B34" s="38">
        <v>33</v>
      </c>
      <c r="C34" s="38"/>
      <c r="D34" s="38"/>
      <c r="E34" s="38"/>
      <c r="F34" s="38"/>
      <c r="G34" s="38"/>
      <c r="H34" s="38"/>
      <c r="I34" s="38"/>
      <c r="J34" s="38"/>
      <c r="K34" s="38"/>
      <c r="L34" s="38">
        <v>1</v>
      </c>
      <c r="M34" s="38">
        <v>1</v>
      </c>
      <c r="N34" s="38"/>
      <c r="O34" s="38"/>
      <c r="P34" s="38"/>
      <c r="Q34" s="38"/>
      <c r="R34" s="38"/>
      <c r="S34" s="38"/>
      <c r="T34" s="38">
        <f t="shared" si="0"/>
        <v>2</v>
      </c>
      <c r="U34" s="42" cm="1">
        <f t="array" ref="U34">SUMPRODUCT(D34:R34,VLOOKUP($D$1:$R$1,$AG$8:$AH$22,2,FALSE))</f>
        <v>27400</v>
      </c>
      <c r="V34" s="4"/>
      <c r="W34" s="4"/>
      <c r="X34" s="4"/>
    </row>
    <row r="35" spans="1:25" ht="15" customHeight="1" x14ac:dyDescent="0.3">
      <c r="A35" s="37">
        <v>45902</v>
      </c>
      <c r="B35" s="38"/>
      <c r="C35" s="38"/>
      <c r="D35" s="38"/>
      <c r="E35" s="38"/>
      <c r="F35" s="38"/>
      <c r="G35" s="38"/>
      <c r="H35" s="38"/>
      <c r="I35" s="38"/>
      <c r="J35" s="38"/>
      <c r="K35" s="38">
        <v>3</v>
      </c>
      <c r="L35" s="38"/>
      <c r="M35" s="38"/>
      <c r="N35" s="38"/>
      <c r="O35" s="38"/>
      <c r="P35" s="38"/>
      <c r="Q35" s="38"/>
      <c r="R35" s="38"/>
      <c r="S35" s="38"/>
      <c r="T35" s="38">
        <f t="shared" si="0"/>
        <v>3</v>
      </c>
      <c r="U35" s="42" cm="1">
        <f t="array" ref="U35">SUMPRODUCT(D35:R35,VLOOKUP($D$1:$R$1,$AG$8:$AH$22,2,FALSE))</f>
        <v>30000</v>
      </c>
      <c r="V35" s="4"/>
      <c r="W35" s="4"/>
      <c r="X35" s="4"/>
    </row>
    <row r="36" spans="1:25" ht="15" customHeight="1" x14ac:dyDescent="0.3">
      <c r="A36" s="37">
        <v>45904</v>
      </c>
      <c r="B36" s="38"/>
      <c r="C36" s="38"/>
      <c r="D36" s="38">
        <v>1</v>
      </c>
      <c r="E36" s="38"/>
      <c r="F36" s="38"/>
      <c r="G36" s="38"/>
      <c r="H36" s="38"/>
      <c r="I36" s="38"/>
      <c r="J36" s="38"/>
      <c r="K36" s="38">
        <v>1</v>
      </c>
      <c r="L36" s="38"/>
      <c r="M36" s="38"/>
      <c r="N36" s="38"/>
      <c r="O36" s="38"/>
      <c r="P36" s="38"/>
      <c r="Q36" s="38"/>
      <c r="R36" s="38"/>
      <c r="S36" s="38"/>
      <c r="T36" s="38">
        <f t="shared" si="0"/>
        <v>2</v>
      </c>
      <c r="U36" s="42" cm="1">
        <f t="array" ref="U36">SUMPRODUCT(D36:R36,VLOOKUP($D$1:$R$1,$AG$8:$AH$22,2,FALSE))</f>
        <v>35400</v>
      </c>
      <c r="V36" s="4"/>
      <c r="W36" s="4"/>
      <c r="X36" s="4"/>
    </row>
    <row r="37" spans="1:25" ht="15" customHeight="1" x14ac:dyDescent="0.3">
      <c r="A37" s="37">
        <v>45904</v>
      </c>
      <c r="B37" s="38"/>
      <c r="C37" s="38"/>
      <c r="D37" s="38"/>
      <c r="E37" s="38">
        <v>1</v>
      </c>
      <c r="F37" s="38"/>
      <c r="G37" s="38"/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38">
        <f t="shared" si="0"/>
        <v>1</v>
      </c>
      <c r="U37" s="42" cm="1">
        <f t="array" ref="U37">SUMPRODUCT(D37:R37,VLOOKUP($D$1:$R$1,$AG$8:$AH$22,2,FALSE))</f>
        <v>31500</v>
      </c>
      <c r="V37" s="4"/>
      <c r="W37" s="4"/>
      <c r="X37" s="4"/>
    </row>
    <row r="38" spans="1:25" ht="15" customHeight="1" x14ac:dyDescent="0.3">
      <c r="A38" s="37">
        <v>45902</v>
      </c>
      <c r="B38" s="38"/>
      <c r="C38" s="38"/>
      <c r="D38" s="38"/>
      <c r="E38" s="38"/>
      <c r="F38" s="38"/>
      <c r="G38" s="38"/>
      <c r="H38" s="38">
        <v>1</v>
      </c>
      <c r="I38" s="38"/>
      <c r="J38" s="38"/>
      <c r="K38" s="38">
        <v>2</v>
      </c>
      <c r="L38" s="38"/>
      <c r="M38" s="38"/>
      <c r="N38" s="38"/>
      <c r="O38" s="38"/>
      <c r="P38" s="38"/>
      <c r="Q38" s="38"/>
      <c r="R38" s="38"/>
      <c r="S38" s="38"/>
      <c r="T38" s="38">
        <f t="shared" si="0"/>
        <v>3</v>
      </c>
      <c r="U38" s="42" cm="1">
        <f t="array" ref="U38">SUMPRODUCT(D38:R38,VLOOKUP($D$1:$R$1,$AG$8:$AH$22,2,FALSE))</f>
        <v>30000</v>
      </c>
      <c r="V38" s="4"/>
      <c r="W38" s="4"/>
      <c r="X38" s="4"/>
    </row>
    <row r="39" spans="1:25" ht="15" customHeight="1" x14ac:dyDescent="0.3">
      <c r="A39" s="46">
        <v>45902</v>
      </c>
      <c r="B39" s="38"/>
      <c r="C39" s="38"/>
      <c r="D39" s="38"/>
      <c r="E39" s="38"/>
      <c r="F39" s="38"/>
      <c r="G39" s="38"/>
      <c r="H39" s="38">
        <v>2</v>
      </c>
      <c r="I39" s="38"/>
      <c r="J39" s="38"/>
      <c r="K39" s="38">
        <v>1</v>
      </c>
      <c r="L39" s="38"/>
      <c r="M39" s="38"/>
      <c r="N39" s="38"/>
      <c r="O39" s="38"/>
      <c r="P39" s="38"/>
      <c r="Q39" s="38"/>
      <c r="R39" s="38"/>
      <c r="S39" s="38"/>
      <c r="T39" s="38">
        <f t="shared" si="0"/>
        <v>3</v>
      </c>
      <c r="U39" s="42" cm="1">
        <f t="array" ref="U39">SUMPRODUCT(D39:R39,VLOOKUP($D$1:$R$1,$AG$8:$AH$22,2,FALSE))</f>
        <v>30000</v>
      </c>
      <c r="V39" s="4"/>
      <c r="W39" s="4"/>
      <c r="X39" s="4"/>
    </row>
    <row r="40" spans="1:25" ht="15" customHeight="1" x14ac:dyDescent="0.3">
      <c r="A40" s="46">
        <v>45906</v>
      </c>
      <c r="B40" s="38"/>
      <c r="C40" s="38"/>
      <c r="D40" s="38"/>
      <c r="E40" s="38"/>
      <c r="F40" s="38"/>
      <c r="G40" s="38"/>
      <c r="H40" s="38"/>
      <c r="I40" s="38"/>
      <c r="J40" s="38"/>
      <c r="K40" s="38">
        <v>2</v>
      </c>
      <c r="L40" s="38"/>
      <c r="M40" s="38">
        <v>1</v>
      </c>
      <c r="N40" s="38"/>
      <c r="O40" s="38"/>
      <c r="P40" s="38"/>
      <c r="Q40" s="38"/>
      <c r="R40" s="38">
        <v>1</v>
      </c>
      <c r="S40" s="38"/>
      <c r="T40" s="38">
        <f t="shared" si="0"/>
        <v>4</v>
      </c>
      <c r="U40" s="42" cm="1">
        <f t="array" ref="U40">SUMPRODUCT(D40:R40,VLOOKUP($D$1:$R$1,$AG$8:$AH$22,2,FALSE))</f>
        <v>37500</v>
      </c>
      <c r="V40" s="4"/>
      <c r="W40" s="4"/>
      <c r="X40" s="4"/>
    </row>
    <row r="41" spans="1:25" ht="15" customHeight="1" x14ac:dyDescent="0.3">
      <c r="A41" s="46">
        <v>45906</v>
      </c>
      <c r="B41" s="38"/>
      <c r="C41" s="38"/>
      <c r="D41" s="38"/>
      <c r="E41" s="38"/>
      <c r="F41" s="38"/>
      <c r="G41" s="38"/>
      <c r="H41" s="38">
        <v>1</v>
      </c>
      <c r="I41" s="38"/>
      <c r="J41" s="38"/>
      <c r="K41" s="38"/>
      <c r="L41" s="38"/>
      <c r="M41" s="38">
        <v>1</v>
      </c>
      <c r="N41" s="38"/>
      <c r="O41" s="38"/>
      <c r="P41" s="38"/>
      <c r="Q41" s="38"/>
      <c r="R41" s="38">
        <v>1</v>
      </c>
      <c r="S41" s="38"/>
      <c r="T41" s="38">
        <f t="shared" si="0"/>
        <v>3</v>
      </c>
      <c r="U41" s="42" cm="1">
        <f t="array" ref="U41">SUMPRODUCT(D41:R41,VLOOKUP($D$1:$R$1,$AG$8:$AH$22,2,FALSE))</f>
        <v>27500</v>
      </c>
      <c r="V41" s="4"/>
      <c r="W41" s="4"/>
      <c r="X41" s="4"/>
    </row>
    <row r="42" spans="1:25" ht="15" customHeight="1" x14ac:dyDescent="0.3">
      <c r="A42" s="46">
        <v>45906</v>
      </c>
      <c r="B42" s="38"/>
      <c r="C42" s="38"/>
      <c r="D42" s="38"/>
      <c r="E42" s="38"/>
      <c r="F42" s="38"/>
      <c r="G42" s="38"/>
      <c r="H42" s="38">
        <v>1</v>
      </c>
      <c r="I42" s="38"/>
      <c r="J42" s="38"/>
      <c r="K42" s="38">
        <v>2</v>
      </c>
      <c r="L42" s="38"/>
      <c r="M42" s="38"/>
      <c r="N42" s="38"/>
      <c r="O42" s="38"/>
      <c r="P42" s="38"/>
      <c r="Q42" s="38"/>
      <c r="R42" s="38"/>
      <c r="S42" s="38"/>
      <c r="T42" s="38">
        <f t="shared" si="0"/>
        <v>3</v>
      </c>
      <c r="U42" s="42" cm="1">
        <f t="array" ref="U42">SUMPRODUCT(D42:R42,VLOOKUP($D$1:$R$1,$AG$8:$AH$22,2,FALSE))</f>
        <v>30000</v>
      </c>
      <c r="V42" s="4"/>
      <c r="W42" s="4"/>
      <c r="X42" s="4"/>
    </row>
    <row r="43" spans="1:25" ht="15" customHeight="1" x14ac:dyDescent="0.3">
      <c r="A43" s="46">
        <v>45906</v>
      </c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>
        <v>2</v>
      </c>
      <c r="M43" s="38"/>
      <c r="N43" s="38"/>
      <c r="O43" s="38"/>
      <c r="P43" s="38"/>
      <c r="Q43" s="38"/>
      <c r="R43" s="38"/>
      <c r="S43" s="38"/>
      <c r="T43" s="38">
        <f t="shared" si="0"/>
        <v>2</v>
      </c>
      <c r="U43" s="42" cm="1">
        <f t="array" ref="U43">SUMPRODUCT(D43:R43,VLOOKUP($D$1:$R$1,$AG$8:$AH$22,2,FALSE))</f>
        <v>39800</v>
      </c>
      <c r="V43" s="4"/>
      <c r="W43" s="4"/>
      <c r="X43" s="4"/>
    </row>
    <row r="44" spans="1:25" ht="15" customHeight="1" x14ac:dyDescent="0.3">
      <c r="A44" s="46">
        <v>45906</v>
      </c>
      <c r="B44" s="38"/>
      <c r="C44" s="38"/>
      <c r="D44" s="38"/>
      <c r="E44" s="38"/>
      <c r="F44" s="38"/>
      <c r="G44" s="38"/>
      <c r="H44" s="38">
        <v>1</v>
      </c>
      <c r="I44" s="38"/>
      <c r="J44" s="38"/>
      <c r="K44" s="38"/>
      <c r="L44" s="38"/>
      <c r="M44" s="38">
        <v>2</v>
      </c>
      <c r="N44" s="38">
        <v>0.5</v>
      </c>
      <c r="O44" s="38"/>
      <c r="P44" s="38"/>
      <c r="Q44" s="38">
        <v>1</v>
      </c>
      <c r="R44" s="38"/>
      <c r="S44" s="38"/>
      <c r="T44" s="38">
        <f t="shared" si="0"/>
        <v>4.5</v>
      </c>
      <c r="U44" s="42" cm="1">
        <f t="array" ref="U44">SUMPRODUCT(D44:R44,VLOOKUP($D$1:$R$1,$AG$8:$AH$22,2,FALSE))</f>
        <v>53000</v>
      </c>
      <c r="V44" s="4"/>
      <c r="W44" s="4"/>
      <c r="X44" s="4"/>
      <c r="Y44" s="4" t="s">
        <v>154</v>
      </c>
    </row>
    <row r="45" spans="1:25" ht="15" customHeight="1" x14ac:dyDescent="0.3">
      <c r="A45" s="46">
        <v>45904</v>
      </c>
      <c r="B45" s="38"/>
      <c r="C45" s="38"/>
      <c r="D45" s="38"/>
      <c r="E45" s="38"/>
      <c r="F45" s="38">
        <v>1</v>
      </c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>
        <f t="shared" si="0"/>
        <v>1</v>
      </c>
      <c r="U45" s="42" cm="1">
        <f t="array" ref="U45">SUMPRODUCT(D45:R45,VLOOKUP($D$1:$R$1,$AG$8:$AH$22,2,FALSE))</f>
        <v>81200</v>
      </c>
      <c r="V45" s="4"/>
      <c r="W45" s="4"/>
      <c r="X45" s="4"/>
    </row>
    <row r="46" spans="1:25" ht="15" customHeight="1" x14ac:dyDescent="0.3">
      <c r="A46" s="46">
        <v>45906</v>
      </c>
      <c r="B46" s="38"/>
      <c r="C46" s="38"/>
      <c r="D46" s="38"/>
      <c r="E46" s="38"/>
      <c r="F46" s="38"/>
      <c r="G46" s="38"/>
      <c r="H46" s="38">
        <v>1</v>
      </c>
      <c r="I46" s="38"/>
      <c r="J46" s="38"/>
      <c r="K46" s="38"/>
      <c r="L46" s="38">
        <v>1</v>
      </c>
      <c r="M46" s="38"/>
      <c r="N46" s="38"/>
      <c r="O46" s="38"/>
      <c r="P46" s="38"/>
      <c r="Q46" s="38"/>
      <c r="R46" s="38"/>
      <c r="S46" s="38"/>
      <c r="T46" s="38">
        <f t="shared" si="0"/>
        <v>2</v>
      </c>
      <c r="U46" s="42" cm="1">
        <f t="array" ref="U46">SUMPRODUCT(D46:R46,VLOOKUP($D$1:$R$1,$AG$8:$AH$22,2,FALSE))</f>
        <v>29900</v>
      </c>
      <c r="V46" s="4"/>
      <c r="W46" s="4"/>
      <c r="X46" s="4"/>
    </row>
    <row r="47" spans="1:25" ht="15" customHeight="1" x14ac:dyDescent="0.3">
      <c r="A47" s="46">
        <v>45902</v>
      </c>
      <c r="B47" s="38"/>
      <c r="C47" s="38"/>
      <c r="D47" s="38"/>
      <c r="E47" s="38"/>
      <c r="F47" s="38">
        <v>2</v>
      </c>
      <c r="G47" s="38"/>
      <c r="H47" s="38"/>
      <c r="I47" s="38"/>
      <c r="J47" s="38"/>
      <c r="K47" s="38">
        <v>1</v>
      </c>
      <c r="L47" s="38"/>
      <c r="M47" s="38"/>
      <c r="N47" s="38"/>
      <c r="O47" s="38"/>
      <c r="P47" s="38"/>
      <c r="Q47" s="38"/>
      <c r="R47" s="38"/>
      <c r="S47" s="38"/>
      <c r="T47" s="38">
        <f t="shared" si="0"/>
        <v>3</v>
      </c>
      <c r="U47" s="42" cm="1">
        <f t="array" ref="U47">SUMPRODUCT(D47:R47,VLOOKUP($D$1:$R$1,$AG$8:$AH$22,2,FALSE))</f>
        <v>172400</v>
      </c>
      <c r="V47" s="4"/>
      <c r="W47" s="4"/>
      <c r="X47" s="4"/>
    </row>
    <row r="48" spans="1:25" ht="15" customHeight="1" x14ac:dyDescent="0.3">
      <c r="A48" s="37">
        <v>45923</v>
      </c>
      <c r="B48" s="38">
        <v>34</v>
      </c>
      <c r="C48" s="38"/>
      <c r="D48" s="38">
        <v>1</v>
      </c>
      <c r="E48" s="38"/>
      <c r="F48" s="38"/>
      <c r="G48" s="38"/>
      <c r="H48" s="38"/>
      <c r="I48" s="38"/>
      <c r="J48" s="38"/>
      <c r="K48" s="38">
        <v>1</v>
      </c>
      <c r="L48" s="38"/>
      <c r="M48" s="38"/>
      <c r="N48" s="38"/>
      <c r="O48" s="38">
        <v>1</v>
      </c>
      <c r="P48" s="38"/>
      <c r="Q48" s="38"/>
      <c r="R48" s="38"/>
      <c r="S48" s="38"/>
      <c r="T48" s="38">
        <f t="shared" si="0"/>
        <v>3</v>
      </c>
      <c r="U48" s="42" cm="1">
        <f t="array" ref="U48">SUMPRODUCT(D48:R48,VLOOKUP($D$1:$R$1,$AG$8:$AH$22,2,FALSE))</f>
        <v>51400</v>
      </c>
      <c r="V48" s="4"/>
      <c r="W48" s="4"/>
      <c r="X48" s="4"/>
    </row>
    <row r="49" spans="1:25" ht="15" customHeight="1" x14ac:dyDescent="0.3">
      <c r="A49" s="37">
        <v>45923</v>
      </c>
      <c r="B49" s="38">
        <v>35</v>
      </c>
      <c r="C49" s="38"/>
      <c r="D49" s="38"/>
      <c r="E49" s="38"/>
      <c r="F49" s="38"/>
      <c r="G49" s="38"/>
      <c r="H49" s="38"/>
      <c r="I49" s="38"/>
      <c r="J49" s="38"/>
      <c r="K49" s="38"/>
      <c r="L49" s="38">
        <v>3</v>
      </c>
      <c r="M49" s="38"/>
      <c r="N49" s="38"/>
      <c r="O49" s="38"/>
      <c r="P49" s="38"/>
      <c r="Q49" s="38"/>
      <c r="R49" s="38"/>
      <c r="S49" s="38"/>
      <c r="T49" s="38">
        <f t="shared" si="0"/>
        <v>3</v>
      </c>
      <c r="U49" s="42" cm="1">
        <f t="array" ref="U49">SUMPRODUCT(D49:R49,VLOOKUP($D$1:$R$1,$AG$8:$AH$22,2,FALSE))</f>
        <v>59700</v>
      </c>
      <c r="V49" s="4"/>
      <c r="W49" s="4"/>
      <c r="X49" s="4"/>
    </row>
    <row r="50" spans="1:25" ht="15" customHeight="1" x14ac:dyDescent="0.3">
      <c r="A50" s="37">
        <v>45923</v>
      </c>
      <c r="B50" s="38">
        <v>36</v>
      </c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>
        <v>1</v>
      </c>
      <c r="O50" s="38"/>
      <c r="P50" s="38"/>
      <c r="Q50" s="38">
        <v>1</v>
      </c>
      <c r="R50" s="38"/>
      <c r="S50" s="38"/>
      <c r="T50" s="38">
        <f t="shared" si="0"/>
        <v>2</v>
      </c>
      <c r="U50" s="42" cm="1">
        <f t="array" ref="U50">SUMPRODUCT(D50:R50,VLOOKUP($D$1:$R$1,$AG$8:$AH$22,2,FALSE))</f>
        <v>40000</v>
      </c>
      <c r="V50" s="4"/>
      <c r="W50" s="4"/>
      <c r="X50" s="4"/>
    </row>
    <row r="51" spans="1:25" ht="15" customHeight="1" x14ac:dyDescent="0.3">
      <c r="A51" s="37">
        <v>45923</v>
      </c>
      <c r="B51" s="38">
        <v>37</v>
      </c>
      <c r="C51" s="38"/>
      <c r="D51" s="38"/>
      <c r="E51" s="38"/>
      <c r="F51" s="38"/>
      <c r="G51" s="38"/>
      <c r="H51" s="38"/>
      <c r="I51" s="38"/>
      <c r="J51" s="38"/>
      <c r="K51" s="38">
        <v>1</v>
      </c>
      <c r="L51" s="38"/>
      <c r="M51" s="38"/>
      <c r="N51" s="38">
        <v>1</v>
      </c>
      <c r="O51" s="38"/>
      <c r="P51" s="38"/>
      <c r="Q51" s="38">
        <v>1</v>
      </c>
      <c r="R51" s="38"/>
      <c r="S51" s="38"/>
      <c r="T51" s="38">
        <f t="shared" si="0"/>
        <v>3</v>
      </c>
      <c r="U51" s="42" cm="1">
        <f t="array" ref="U51">SUMPRODUCT(D51:R51,VLOOKUP($D$1:$R$1,$AG$8:$AH$22,2,FALSE))</f>
        <v>50000</v>
      </c>
      <c r="V51" s="4"/>
      <c r="W51" s="4"/>
      <c r="X51" s="4"/>
    </row>
    <row r="52" spans="1:25" ht="15" customHeight="1" x14ac:dyDescent="0.3">
      <c r="A52" s="37">
        <v>45924</v>
      </c>
      <c r="B52" s="38">
        <v>38</v>
      </c>
      <c r="C52" s="38"/>
      <c r="D52" s="38"/>
      <c r="E52" s="38"/>
      <c r="F52" s="38"/>
      <c r="G52" s="38"/>
      <c r="H52" s="38"/>
      <c r="I52" s="38"/>
      <c r="J52" s="38"/>
      <c r="K52" s="38">
        <v>1</v>
      </c>
      <c r="L52" s="38"/>
      <c r="M52" s="38"/>
      <c r="N52" s="38"/>
      <c r="O52" s="38"/>
      <c r="P52" s="38"/>
      <c r="Q52" s="38">
        <v>1</v>
      </c>
      <c r="R52" s="38"/>
      <c r="S52" s="38"/>
      <c r="T52" s="38">
        <f t="shared" si="0"/>
        <v>2</v>
      </c>
      <c r="U52" s="42" cm="1">
        <f t="array" ref="U52">SUMPRODUCT(D52:R52,VLOOKUP($D$1:$R$1,$AG$8:$AH$22,2,FALSE))</f>
        <v>26000</v>
      </c>
      <c r="V52" s="4"/>
      <c r="W52" s="4"/>
      <c r="X52" s="4"/>
    </row>
    <row r="53" spans="1:25" ht="15" customHeight="1" x14ac:dyDescent="0.3">
      <c r="A53" s="37">
        <v>45924</v>
      </c>
      <c r="B53" s="38">
        <v>39</v>
      </c>
      <c r="C53" s="38"/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>
        <v>1</v>
      </c>
      <c r="O53" s="38">
        <v>1</v>
      </c>
      <c r="P53" s="38"/>
      <c r="Q53" s="38">
        <v>1</v>
      </c>
      <c r="R53" s="38">
        <v>1</v>
      </c>
      <c r="S53" s="38"/>
      <c r="T53" s="38">
        <f t="shared" si="0"/>
        <v>4</v>
      </c>
      <c r="U53" s="42" cm="1">
        <f t="array" ref="U53">SUMPRODUCT(D53:R53,VLOOKUP($D$1:$R$1,$AG$8:$AH$22,2,FALSE))</f>
        <v>66000</v>
      </c>
      <c r="V53" s="4"/>
      <c r="W53" s="4"/>
      <c r="X53" s="4"/>
    </row>
    <row r="54" spans="1:25" ht="15" customHeight="1" x14ac:dyDescent="0.3">
      <c r="A54" s="37">
        <v>45924</v>
      </c>
      <c r="B54" s="38">
        <v>40</v>
      </c>
      <c r="C54" s="38"/>
      <c r="D54" s="38"/>
      <c r="E54" s="38"/>
      <c r="F54" s="38"/>
      <c r="G54" s="38"/>
      <c r="H54" s="38">
        <v>1</v>
      </c>
      <c r="I54" s="38"/>
      <c r="J54" s="38"/>
      <c r="K54" s="38">
        <v>1</v>
      </c>
      <c r="L54" s="38"/>
      <c r="M54" s="38">
        <v>1</v>
      </c>
      <c r="N54" s="38"/>
      <c r="O54" s="38"/>
      <c r="P54" s="38"/>
      <c r="Q54" s="38"/>
      <c r="R54" s="38"/>
      <c r="S54" s="38"/>
      <c r="T54" s="38">
        <f t="shared" si="0"/>
        <v>3</v>
      </c>
      <c r="U54" s="42" cm="1">
        <f t="array" ref="U54">SUMPRODUCT(D54:R54,VLOOKUP($D$1:$R$1,$AG$8:$AH$22,2,FALSE))</f>
        <v>27500</v>
      </c>
      <c r="V54" s="4"/>
      <c r="W54" s="4"/>
      <c r="X54" s="4"/>
    </row>
    <row r="55" spans="1:25" ht="15" customHeight="1" x14ac:dyDescent="0.3">
      <c r="A55" s="37">
        <v>45924</v>
      </c>
      <c r="B55" s="38">
        <v>41</v>
      </c>
      <c r="C55" s="38"/>
      <c r="D55" s="38"/>
      <c r="E55" s="38"/>
      <c r="F55" s="38"/>
      <c r="G55" s="38"/>
      <c r="H55" s="38"/>
      <c r="I55" s="38"/>
      <c r="J55" s="38"/>
      <c r="K55" s="38"/>
      <c r="L55" s="38"/>
      <c r="M55" s="38"/>
      <c r="N55" s="38"/>
      <c r="O55" s="38">
        <v>1</v>
      </c>
      <c r="P55" s="38"/>
      <c r="Q55" s="38">
        <v>1</v>
      </c>
      <c r="R55" s="38"/>
      <c r="S55" s="38"/>
      <c r="T55" s="38">
        <f t="shared" si="0"/>
        <v>2</v>
      </c>
      <c r="U55" s="42" cm="1">
        <f t="array" ref="U55">SUMPRODUCT(D55:R55,VLOOKUP($D$1:$R$1,$AG$8:$AH$22,2,FALSE))</f>
        <v>32000</v>
      </c>
      <c r="V55" s="4"/>
      <c r="W55" s="4"/>
      <c r="X55" s="4"/>
    </row>
    <row r="56" spans="1:25" ht="15" customHeight="1" x14ac:dyDescent="0.3">
      <c r="A56" s="37">
        <v>45924</v>
      </c>
      <c r="B56" s="38">
        <v>42</v>
      </c>
      <c r="C56" s="38"/>
      <c r="D56" s="38"/>
      <c r="E56" s="38"/>
      <c r="F56" s="38"/>
      <c r="G56" s="38"/>
      <c r="H56" s="38"/>
      <c r="I56" s="38"/>
      <c r="J56" s="38"/>
      <c r="K56" s="38">
        <v>1</v>
      </c>
      <c r="L56" s="38"/>
      <c r="M56" s="38"/>
      <c r="N56" s="38">
        <v>1</v>
      </c>
      <c r="O56" s="38"/>
      <c r="P56" s="38"/>
      <c r="Q56" s="38"/>
      <c r="R56" s="38"/>
      <c r="S56" s="38"/>
      <c r="T56" s="38">
        <f t="shared" si="0"/>
        <v>2</v>
      </c>
      <c r="U56" s="42">
        <v>38800</v>
      </c>
      <c r="V56" s="4"/>
      <c r="W56" s="4"/>
      <c r="X56" s="4"/>
      <c r="Y56" s="4" t="s">
        <v>155</v>
      </c>
    </row>
    <row r="57" spans="1:25" ht="15" customHeight="1" x14ac:dyDescent="0.3">
      <c r="A57" s="37">
        <v>45925</v>
      </c>
      <c r="B57" s="38">
        <v>43</v>
      </c>
      <c r="C57" s="38"/>
      <c r="D57" s="38"/>
      <c r="E57" s="38"/>
      <c r="F57" s="38"/>
      <c r="G57" s="38"/>
      <c r="H57" s="38"/>
      <c r="I57" s="38"/>
      <c r="J57" s="38"/>
      <c r="K57" s="38"/>
      <c r="L57" s="38"/>
      <c r="M57" s="38"/>
      <c r="N57" s="38">
        <v>1</v>
      </c>
      <c r="O57" s="38"/>
      <c r="P57" s="38"/>
      <c r="Q57" s="38">
        <v>1</v>
      </c>
      <c r="R57" s="38"/>
      <c r="S57" s="38"/>
      <c r="T57" s="38">
        <f t="shared" si="0"/>
        <v>2</v>
      </c>
      <c r="U57" s="42" cm="1">
        <f t="array" ref="U57">SUMPRODUCT(D57:R57,VLOOKUP($D$1:$R$1,$AG$8:$AH$22,2,FALSE))</f>
        <v>40000</v>
      </c>
      <c r="V57" s="4"/>
      <c r="W57" s="4"/>
      <c r="X57" s="4"/>
    </row>
    <row r="58" spans="1:25" ht="15" customHeight="1" x14ac:dyDescent="0.3">
      <c r="A58" s="37">
        <v>45925</v>
      </c>
      <c r="B58" s="38">
        <v>44</v>
      </c>
      <c r="C58" s="38"/>
      <c r="D58" s="38"/>
      <c r="E58" s="38"/>
      <c r="F58" s="38"/>
      <c r="G58" s="38"/>
      <c r="H58" s="38">
        <v>1</v>
      </c>
      <c r="I58" s="38"/>
      <c r="J58" s="38"/>
      <c r="K58" s="38"/>
      <c r="L58" s="38"/>
      <c r="M58" s="38"/>
      <c r="N58" s="38"/>
      <c r="O58" s="38"/>
      <c r="P58" s="38">
        <v>1</v>
      </c>
      <c r="Q58" s="38"/>
      <c r="R58" s="38"/>
      <c r="S58" s="38"/>
      <c r="T58" s="38">
        <f t="shared" si="0"/>
        <v>2</v>
      </c>
      <c r="U58" s="42" cm="1">
        <f t="array" ref="U58">SUMPRODUCT(D58:R58,VLOOKUP($D$1:$R$1,$AG$8:$AH$22,2,FALSE))</f>
        <v>35000</v>
      </c>
      <c r="V58" s="4"/>
      <c r="W58" s="4"/>
      <c r="X58" s="4"/>
      <c r="Y58" s="4" t="s">
        <v>156</v>
      </c>
    </row>
    <row r="59" spans="1:25" ht="15" customHeight="1" x14ac:dyDescent="0.3">
      <c r="A59" s="37">
        <v>45925</v>
      </c>
      <c r="B59" s="38">
        <v>45</v>
      </c>
      <c r="C59" s="38"/>
      <c r="D59" s="38"/>
      <c r="E59" s="38"/>
      <c r="F59" s="38"/>
      <c r="G59" s="38"/>
      <c r="H59" s="38">
        <v>1</v>
      </c>
      <c r="I59" s="38"/>
      <c r="J59" s="38"/>
      <c r="K59" s="38">
        <v>1</v>
      </c>
      <c r="L59" s="38"/>
      <c r="M59" s="38">
        <v>1</v>
      </c>
      <c r="N59" s="38"/>
      <c r="O59" s="38"/>
      <c r="P59" s="38"/>
      <c r="Q59" s="38"/>
      <c r="R59" s="38"/>
      <c r="S59" s="38"/>
      <c r="T59" s="38">
        <f t="shared" si="0"/>
        <v>3</v>
      </c>
      <c r="U59" s="42" cm="1">
        <f t="array" ref="U59">SUMPRODUCT(D59:R59,VLOOKUP($D$1:$R$1,$AG$8:$AH$22,2,FALSE))</f>
        <v>27500</v>
      </c>
      <c r="V59" s="4"/>
      <c r="W59" s="4"/>
      <c r="X59" s="4"/>
    </row>
    <row r="60" spans="1:25" ht="15" customHeight="1" x14ac:dyDescent="0.3">
      <c r="A60" s="37">
        <v>45925</v>
      </c>
      <c r="B60" s="38">
        <v>46</v>
      </c>
      <c r="C60" s="38"/>
      <c r="D60" s="38"/>
      <c r="E60" s="38"/>
      <c r="F60" s="38"/>
      <c r="G60" s="38"/>
      <c r="H60" s="38"/>
      <c r="I60" s="38"/>
      <c r="J60" s="38"/>
      <c r="K60" s="38"/>
      <c r="L60" s="38"/>
      <c r="M60" s="38"/>
      <c r="N60" s="38">
        <v>1</v>
      </c>
      <c r="O60" s="38">
        <v>1</v>
      </c>
      <c r="P60" s="38"/>
      <c r="Q60" s="38"/>
      <c r="R60" s="38"/>
      <c r="S60" s="38"/>
      <c r="T60" s="38">
        <f t="shared" si="0"/>
        <v>2</v>
      </c>
      <c r="U60" s="42" cm="1">
        <f t="array" ref="U60">SUMPRODUCT(D60:R60,VLOOKUP($D$1:$R$1,$AG$8:$AH$22,2,FALSE))</f>
        <v>40000</v>
      </c>
      <c r="V60" s="4"/>
      <c r="W60" s="4"/>
      <c r="X60" s="4"/>
    </row>
    <row r="61" spans="1:25" ht="15" customHeight="1" x14ac:dyDescent="0.3">
      <c r="A61" s="37">
        <v>45926</v>
      </c>
      <c r="B61" s="38">
        <v>47</v>
      </c>
      <c r="C61" s="38"/>
      <c r="D61" s="38"/>
      <c r="E61" s="38"/>
      <c r="F61" s="38"/>
      <c r="G61" s="38"/>
      <c r="H61" s="38"/>
      <c r="I61" s="38"/>
      <c r="J61" s="38"/>
      <c r="K61" s="38">
        <v>1</v>
      </c>
      <c r="L61" s="38"/>
      <c r="M61" s="38"/>
      <c r="N61" s="38"/>
      <c r="O61" s="38"/>
      <c r="P61" s="38"/>
      <c r="Q61" s="38">
        <v>1</v>
      </c>
      <c r="R61" s="38">
        <v>1</v>
      </c>
      <c r="S61" s="38"/>
      <c r="T61" s="38">
        <f t="shared" si="0"/>
        <v>3</v>
      </c>
      <c r="U61" s="42" cm="1">
        <f t="array" ref="U61">SUMPRODUCT(D61:R61,VLOOKUP($D$1:$R$1,$AG$8:$AH$22,2,FALSE))</f>
        <v>36000</v>
      </c>
      <c r="V61" s="4"/>
      <c r="W61" s="4"/>
      <c r="X61" s="4"/>
    </row>
    <row r="62" spans="1:25" ht="15" customHeight="1" x14ac:dyDescent="0.3">
      <c r="A62" s="37">
        <v>45926</v>
      </c>
      <c r="B62" s="38">
        <v>48</v>
      </c>
      <c r="C62" s="38"/>
      <c r="D62" s="38"/>
      <c r="E62" s="38">
        <v>2</v>
      </c>
      <c r="F62" s="38"/>
      <c r="G62" s="38"/>
      <c r="H62" s="38"/>
      <c r="I62" s="38"/>
      <c r="J62" s="38"/>
      <c r="K62" s="38"/>
      <c r="L62" s="38"/>
      <c r="M62" s="38"/>
      <c r="N62" s="38"/>
      <c r="O62" s="38"/>
      <c r="P62" s="38"/>
      <c r="Q62" s="38"/>
      <c r="R62" s="38"/>
      <c r="S62" s="38"/>
      <c r="T62" s="38">
        <f t="shared" si="0"/>
        <v>2</v>
      </c>
      <c r="U62" s="42" cm="1">
        <f t="array" ref="U62">SUMPRODUCT(D62:R62,VLOOKUP($D$1:$R$1,$AG$8:$AH$22,2,FALSE))</f>
        <v>63000</v>
      </c>
      <c r="V62" s="4"/>
      <c r="W62" s="4"/>
      <c r="X62" s="4"/>
    </row>
    <row r="63" spans="1:25" ht="15" customHeight="1" x14ac:dyDescent="0.3">
      <c r="A63" s="37">
        <v>45926</v>
      </c>
      <c r="B63" s="38">
        <v>49</v>
      </c>
      <c r="C63" s="38"/>
      <c r="D63" s="38"/>
      <c r="E63" s="38"/>
      <c r="F63" s="38"/>
      <c r="G63" s="38"/>
      <c r="H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>
        <f t="shared" si="0"/>
        <v>0</v>
      </c>
      <c r="U63" s="42">
        <v>30000</v>
      </c>
      <c r="V63" s="4"/>
      <c r="W63" s="4"/>
      <c r="X63" s="4"/>
      <c r="Y63" s="4" t="s">
        <v>157</v>
      </c>
    </row>
    <row r="64" spans="1:25" ht="15" customHeight="1" x14ac:dyDescent="0.3">
      <c r="A64" s="37">
        <v>45926</v>
      </c>
      <c r="B64" s="38">
        <v>50</v>
      </c>
      <c r="C64" s="38"/>
      <c r="D64" s="38"/>
      <c r="E64" s="38"/>
      <c r="F64" s="38"/>
      <c r="G64" s="38"/>
      <c r="H64" s="38"/>
      <c r="I64" s="38"/>
      <c r="J64" s="38"/>
      <c r="K64" s="38"/>
      <c r="L64" s="38"/>
      <c r="M64" s="38">
        <v>1</v>
      </c>
      <c r="N64" s="38">
        <v>1</v>
      </c>
      <c r="O64" s="38"/>
      <c r="P64" s="38"/>
      <c r="Q64" s="38"/>
      <c r="R64" s="38"/>
      <c r="S64" s="38"/>
      <c r="T64" s="38">
        <f t="shared" si="0"/>
        <v>2</v>
      </c>
      <c r="U64" s="42" cm="1">
        <f t="array" ref="U64">SUMPRODUCT(D64:R64,VLOOKUP($D$1:$R$1,$AG$8:$AH$22,2,FALSE))</f>
        <v>31500</v>
      </c>
      <c r="V64" s="4"/>
      <c r="W64" s="4"/>
      <c r="X64" s="4"/>
    </row>
    <row r="65" spans="1:25" ht="15" customHeight="1" x14ac:dyDescent="0.3">
      <c r="A65" s="37">
        <v>45926</v>
      </c>
      <c r="B65" s="38">
        <v>51</v>
      </c>
      <c r="C65" s="38"/>
      <c r="D65" s="38"/>
      <c r="E65" s="38"/>
      <c r="F65" s="38"/>
      <c r="G65" s="38"/>
      <c r="H65" s="38">
        <v>1</v>
      </c>
      <c r="I65" s="38"/>
      <c r="J65" s="38"/>
      <c r="K65" s="38">
        <v>1</v>
      </c>
      <c r="L65" s="38"/>
      <c r="M65" s="38">
        <v>1</v>
      </c>
      <c r="N65" s="38"/>
      <c r="O65" s="38"/>
      <c r="P65" s="38"/>
      <c r="Q65" s="38"/>
      <c r="R65" s="38"/>
      <c r="S65" s="38"/>
      <c r="T65" s="38">
        <f t="shared" si="0"/>
        <v>3</v>
      </c>
      <c r="U65" s="42" cm="1">
        <f t="array" ref="U65">SUMPRODUCT(D65:R65,VLOOKUP($D$1:$R$1,$AG$8:$AH$22,2,FALSE))</f>
        <v>27500</v>
      </c>
      <c r="V65" s="4"/>
      <c r="W65" s="4"/>
      <c r="X65" s="4"/>
    </row>
    <row r="66" spans="1:25" ht="15" customHeight="1" x14ac:dyDescent="0.3">
      <c r="A66" s="37">
        <v>45926</v>
      </c>
      <c r="B66" s="38">
        <v>52</v>
      </c>
      <c r="C66" s="38"/>
      <c r="D66" s="38"/>
      <c r="E66" s="38"/>
      <c r="F66" s="38"/>
      <c r="G66" s="38"/>
      <c r="H66" s="38"/>
      <c r="I66" s="38"/>
      <c r="J66" s="38"/>
      <c r="K66" s="38"/>
      <c r="L66" s="38">
        <v>2</v>
      </c>
      <c r="M66" s="38"/>
      <c r="N66" s="38"/>
      <c r="O66" s="38"/>
      <c r="P66" s="38"/>
      <c r="Q66" s="38"/>
      <c r="R66" s="38"/>
      <c r="S66" s="38"/>
      <c r="T66" s="38">
        <f t="shared" si="0"/>
        <v>2</v>
      </c>
      <c r="U66" s="42" cm="1">
        <f t="array" ref="U66">SUMPRODUCT(D66:R66,VLOOKUP($D$1:$R$1,$AG$8:$AH$22,2,FALSE))</f>
        <v>39800</v>
      </c>
      <c r="V66" s="4"/>
      <c r="W66" s="4"/>
      <c r="X66" s="4"/>
    </row>
    <row r="67" spans="1:25" ht="15" customHeight="1" x14ac:dyDescent="0.3">
      <c r="A67" s="37">
        <v>45927</v>
      </c>
      <c r="B67" s="38">
        <v>53</v>
      </c>
      <c r="C67" s="38"/>
      <c r="D67" s="38"/>
      <c r="E67" s="38"/>
      <c r="F67" s="38"/>
      <c r="G67" s="38"/>
      <c r="H67" s="38"/>
      <c r="I67" s="38"/>
      <c r="J67" s="38"/>
      <c r="K67" s="38">
        <v>1</v>
      </c>
      <c r="L67" s="38"/>
      <c r="M67" s="38">
        <v>1</v>
      </c>
      <c r="N67" s="38"/>
      <c r="O67" s="38">
        <v>1</v>
      </c>
      <c r="P67" s="38"/>
      <c r="Q67" s="38"/>
      <c r="R67" s="38"/>
      <c r="S67" s="38"/>
      <c r="T67" s="38">
        <f t="shared" si="0"/>
        <v>3</v>
      </c>
      <c r="U67" s="42" cm="1">
        <f t="array" ref="U67">SUMPRODUCT(D67:R67,VLOOKUP($D$1:$R$1,$AG$8:$AH$22,2,FALSE))</f>
        <v>33500</v>
      </c>
      <c r="V67" s="4"/>
      <c r="W67" s="4"/>
      <c r="X67" s="4"/>
    </row>
    <row r="68" spans="1:25" ht="15" customHeight="1" x14ac:dyDescent="0.3">
      <c r="A68" s="37">
        <v>45927</v>
      </c>
      <c r="B68" s="38">
        <v>54</v>
      </c>
      <c r="C68" s="38"/>
      <c r="D68" s="38"/>
      <c r="E68" s="38"/>
      <c r="F68" s="38"/>
      <c r="G68" s="38"/>
      <c r="H68" s="38">
        <v>1</v>
      </c>
      <c r="I68" s="38"/>
      <c r="J68" s="38"/>
      <c r="K68" s="38"/>
      <c r="L68" s="38"/>
      <c r="M68" s="38"/>
      <c r="N68" s="38"/>
      <c r="O68" s="38"/>
      <c r="P68" s="38"/>
      <c r="Q68" s="38">
        <v>1</v>
      </c>
      <c r="R68" s="38"/>
      <c r="S68" s="38"/>
      <c r="T68" s="38">
        <f t="shared" si="0"/>
        <v>2</v>
      </c>
      <c r="U68" s="42" cm="1">
        <f t="array" ref="U68">SUMPRODUCT(D68:R68,VLOOKUP($D$1:$R$1,$AG$8:$AH$22,2,FALSE))</f>
        <v>26000</v>
      </c>
      <c r="V68" s="4"/>
      <c r="W68" s="4"/>
      <c r="X68" s="4"/>
    </row>
    <row r="69" spans="1:25" ht="15" customHeight="1" x14ac:dyDescent="0.3">
      <c r="A69" s="37">
        <v>45928</v>
      </c>
      <c r="B69" s="38">
        <v>55</v>
      </c>
      <c r="C69" s="38"/>
      <c r="D69" s="38"/>
      <c r="E69" s="38"/>
      <c r="F69" s="38"/>
      <c r="G69" s="38"/>
      <c r="H69" s="38"/>
      <c r="I69" s="38"/>
      <c r="J69" s="38"/>
      <c r="K69" s="38"/>
      <c r="L69" s="38"/>
      <c r="M69" s="38"/>
      <c r="N69" s="38">
        <v>1</v>
      </c>
      <c r="O69" s="38"/>
      <c r="P69" s="38"/>
      <c r="Q69" s="38"/>
      <c r="R69" s="38">
        <v>1</v>
      </c>
      <c r="S69" s="38"/>
      <c r="T69" s="38">
        <f t="shared" si="0"/>
        <v>2</v>
      </c>
      <c r="U69" s="42" cm="1">
        <f t="array" ref="U69">SUMPRODUCT(D69:R69,VLOOKUP($D$1:$R$1,$AG$8:$AH$22,2,FALSE))</f>
        <v>34000</v>
      </c>
      <c r="V69" s="4"/>
      <c r="W69" s="4"/>
      <c r="X69" s="4"/>
    </row>
    <row r="70" spans="1:25" ht="15" customHeight="1" x14ac:dyDescent="0.3">
      <c r="A70" s="37">
        <v>45928</v>
      </c>
      <c r="B70" s="38">
        <v>56</v>
      </c>
      <c r="C70" s="38"/>
      <c r="D70" s="38"/>
      <c r="E70" s="38"/>
      <c r="F70" s="38"/>
      <c r="G70" s="38"/>
      <c r="H70" s="38"/>
      <c r="I70" s="38"/>
      <c r="J70" s="38"/>
      <c r="K70" s="38">
        <v>1</v>
      </c>
      <c r="L70" s="38"/>
      <c r="M70" s="38">
        <v>1</v>
      </c>
      <c r="N70" s="38"/>
      <c r="O70" s="38"/>
      <c r="P70" s="38"/>
      <c r="Q70" s="38">
        <v>1</v>
      </c>
      <c r="R70" s="38"/>
      <c r="S70" s="38"/>
      <c r="T70" s="38">
        <f t="shared" si="0"/>
        <v>3</v>
      </c>
      <c r="U70" s="42" cm="1">
        <f t="array" ref="U70">SUMPRODUCT(D70:R70,VLOOKUP($D$1:$R$1,$AG$8:$AH$22,2,FALSE))</f>
        <v>33500</v>
      </c>
      <c r="V70" s="4"/>
      <c r="W70" s="4"/>
      <c r="X70" s="4"/>
    </row>
    <row r="71" spans="1:25" ht="15" customHeight="1" x14ac:dyDescent="0.3">
      <c r="A71" s="37">
        <v>45928</v>
      </c>
      <c r="B71" s="38">
        <v>57</v>
      </c>
      <c r="C71" s="38"/>
      <c r="D71" s="38"/>
      <c r="E71" s="38"/>
      <c r="F71" s="38"/>
      <c r="G71" s="38"/>
      <c r="H71" s="38">
        <v>1</v>
      </c>
      <c r="I71" s="38"/>
      <c r="J71" s="38"/>
      <c r="K71" s="38"/>
      <c r="L71" s="38">
        <v>1</v>
      </c>
      <c r="M71" s="38"/>
      <c r="N71" s="38"/>
      <c r="O71" s="38"/>
      <c r="P71" s="38"/>
      <c r="Q71" s="38"/>
      <c r="R71" s="38">
        <v>1</v>
      </c>
      <c r="S71" s="38"/>
      <c r="T71" s="38">
        <f t="shared" si="0"/>
        <v>3</v>
      </c>
      <c r="U71" s="42" cm="1">
        <f t="array" ref="U71">SUMPRODUCT(D71:R71,VLOOKUP($D$1:$R$1,$AG$8:$AH$22,2,FALSE))</f>
        <v>39900</v>
      </c>
      <c r="V71" s="4"/>
      <c r="W71" s="4"/>
      <c r="X71" s="4"/>
    </row>
    <row r="72" spans="1:25" ht="15" customHeight="1" x14ac:dyDescent="0.3">
      <c r="A72" s="37">
        <v>45929</v>
      </c>
      <c r="B72" s="38">
        <v>58</v>
      </c>
      <c r="C72" s="38"/>
      <c r="D72" s="38"/>
      <c r="E72" s="38"/>
      <c r="F72" s="38"/>
      <c r="G72" s="38"/>
      <c r="H72" s="38">
        <v>1</v>
      </c>
      <c r="I72" s="38"/>
      <c r="J72" s="38"/>
      <c r="K72" s="38"/>
      <c r="L72" s="38">
        <v>1</v>
      </c>
      <c r="M72" s="38">
        <v>1</v>
      </c>
      <c r="N72" s="38"/>
      <c r="O72" s="38"/>
      <c r="P72" s="38">
        <v>1</v>
      </c>
      <c r="Q72" s="38">
        <v>1</v>
      </c>
      <c r="R72" s="38"/>
      <c r="S72" s="38"/>
      <c r="T72" s="38">
        <f t="shared" si="0"/>
        <v>5</v>
      </c>
      <c r="U72" s="42" cm="1">
        <f t="array" ref="U72">SUMPRODUCT(D72:R72,VLOOKUP($D$1:$R$1,$AG$8:$AH$22,2,FALSE))</f>
        <v>78400</v>
      </c>
      <c r="V72" s="4"/>
      <c r="W72" s="4"/>
      <c r="X72" s="4"/>
    </row>
    <row r="73" spans="1:25" ht="15" customHeight="1" x14ac:dyDescent="0.3">
      <c r="A73" s="37">
        <v>45929</v>
      </c>
      <c r="B73" s="38">
        <v>59</v>
      </c>
      <c r="C73" s="38"/>
      <c r="D73" s="38"/>
      <c r="E73" s="38"/>
      <c r="F73" s="38"/>
      <c r="G73" s="38"/>
      <c r="H73" s="38">
        <v>1</v>
      </c>
      <c r="I73" s="38"/>
      <c r="J73" s="38"/>
      <c r="K73" s="38"/>
      <c r="L73" s="38">
        <v>1</v>
      </c>
      <c r="M73" s="38">
        <v>1</v>
      </c>
      <c r="N73" s="38"/>
      <c r="O73" s="38">
        <v>1</v>
      </c>
      <c r="P73" s="38"/>
      <c r="Q73" s="38"/>
      <c r="R73" s="38"/>
      <c r="S73" s="38"/>
      <c r="T73" s="38">
        <f t="shared" si="0"/>
        <v>4</v>
      </c>
      <c r="U73" s="42" cm="1">
        <f t="array" ref="U73">SUMPRODUCT(D73:R73,VLOOKUP($D$1:$R$1,$AG$8:$AH$22,2,FALSE))</f>
        <v>53400</v>
      </c>
      <c r="V73" s="4"/>
      <c r="W73" s="4"/>
      <c r="X73" s="4"/>
    </row>
    <row r="74" spans="1:25" ht="15" customHeight="1" x14ac:dyDescent="0.3">
      <c r="A74" s="37">
        <v>45929</v>
      </c>
      <c r="B74" s="38">
        <v>60</v>
      </c>
      <c r="C74" s="38"/>
      <c r="D74" s="38"/>
      <c r="E74" s="38"/>
      <c r="F74" s="38"/>
      <c r="G74" s="38"/>
      <c r="H74" s="38"/>
      <c r="I74" s="38"/>
      <c r="J74" s="38"/>
      <c r="K74" s="38"/>
      <c r="L74" s="38"/>
      <c r="M74" s="38"/>
      <c r="N74" s="38">
        <v>1</v>
      </c>
      <c r="O74" s="38">
        <v>0.5</v>
      </c>
      <c r="P74" s="38"/>
      <c r="Q74" s="38"/>
      <c r="R74" s="38">
        <v>1</v>
      </c>
      <c r="S74" s="38"/>
      <c r="T74" s="38">
        <f t="shared" si="0"/>
        <v>2.5</v>
      </c>
      <c r="U74" s="42" cm="1">
        <f t="array" ref="U74">SUMPRODUCT(D74:R74,VLOOKUP($D$1:$R$1,$AG$8:$AH$22,2,FALSE))</f>
        <v>42000</v>
      </c>
      <c r="V74" s="4"/>
      <c r="W74" s="4"/>
      <c r="X74" s="4"/>
      <c r="Y74" s="4" t="s">
        <v>158</v>
      </c>
    </row>
    <row r="75" spans="1:25" ht="15" customHeight="1" x14ac:dyDescent="0.3">
      <c r="A75" s="37">
        <v>45929</v>
      </c>
      <c r="B75" s="38">
        <v>61</v>
      </c>
      <c r="C75" s="38"/>
      <c r="D75" s="38"/>
      <c r="E75" s="38"/>
      <c r="F75" s="38"/>
      <c r="G75" s="38"/>
      <c r="H75" s="38"/>
      <c r="I75" s="38"/>
      <c r="J75" s="38"/>
      <c r="K75" s="38">
        <v>1</v>
      </c>
      <c r="L75" s="38">
        <v>1</v>
      </c>
      <c r="M75" s="38"/>
      <c r="N75" s="38"/>
      <c r="O75" s="38"/>
      <c r="P75" s="38"/>
      <c r="Q75" s="38"/>
      <c r="R75" s="38"/>
      <c r="S75" s="38"/>
      <c r="T75" s="38">
        <f t="shared" si="0"/>
        <v>2</v>
      </c>
      <c r="U75" s="42">
        <v>44900</v>
      </c>
      <c r="V75" s="4"/>
      <c r="W75" s="4"/>
      <c r="X75" s="4"/>
      <c r="Y75" s="4" t="s">
        <v>159</v>
      </c>
    </row>
    <row r="76" spans="1:25" ht="15" customHeight="1" x14ac:dyDescent="0.3">
      <c r="A76" s="37">
        <v>45929</v>
      </c>
      <c r="B76" s="38">
        <v>62</v>
      </c>
      <c r="C76" s="38"/>
      <c r="D76" s="38"/>
      <c r="E76" s="38"/>
      <c r="F76" s="38"/>
      <c r="G76" s="38"/>
      <c r="H76" s="38">
        <v>1</v>
      </c>
      <c r="I76" s="38"/>
      <c r="J76" s="38"/>
      <c r="K76" s="38"/>
      <c r="L76" s="38"/>
      <c r="M76" s="38">
        <v>2</v>
      </c>
      <c r="N76" s="38"/>
      <c r="O76" s="38"/>
      <c r="P76" s="38"/>
      <c r="Q76" s="38"/>
      <c r="R76" s="38"/>
      <c r="S76" s="38"/>
      <c r="T76" s="38">
        <f t="shared" si="0"/>
        <v>3</v>
      </c>
      <c r="U76" s="42" cm="1">
        <f t="array" ref="U76">SUMPRODUCT(D76:R76,VLOOKUP($D$1:$R$1,$AG$8:$AH$22,2,FALSE))</f>
        <v>25000</v>
      </c>
      <c r="V76" s="4"/>
      <c r="W76" s="4"/>
      <c r="X76" s="4"/>
    </row>
    <row r="77" spans="1:25" ht="15" customHeight="1" x14ac:dyDescent="0.3">
      <c r="A77" s="37">
        <v>45929</v>
      </c>
      <c r="B77" s="38">
        <v>63</v>
      </c>
      <c r="C77" s="38"/>
      <c r="D77" s="38"/>
      <c r="E77" s="38"/>
      <c r="F77" s="38"/>
      <c r="G77" s="38"/>
      <c r="H77" s="38">
        <v>1</v>
      </c>
      <c r="I77" s="38"/>
      <c r="J77" s="38"/>
      <c r="K77" s="38"/>
      <c r="L77" s="38">
        <v>1</v>
      </c>
      <c r="M77" s="38">
        <v>1</v>
      </c>
      <c r="N77" s="38"/>
      <c r="O77" s="38"/>
      <c r="P77" s="38"/>
      <c r="Q77" s="38"/>
      <c r="R77" s="38"/>
      <c r="S77" s="38"/>
      <c r="T77" s="38">
        <f t="shared" si="0"/>
        <v>3</v>
      </c>
      <c r="U77" s="42" cm="1">
        <f t="array" ref="U77">SUMPRODUCT(D77:R77,VLOOKUP($D$1:$R$1,$AG$8:$AH$22,2,FALSE))</f>
        <v>37400</v>
      </c>
      <c r="V77" s="4"/>
      <c r="W77" s="4"/>
      <c r="X77" s="4"/>
    </row>
    <row r="78" spans="1:25" ht="15" customHeight="1" x14ac:dyDescent="0.3">
      <c r="A78" s="37">
        <v>45930</v>
      </c>
      <c r="B78" s="38">
        <v>64</v>
      </c>
      <c r="C78" s="38"/>
      <c r="D78" s="38"/>
      <c r="E78" s="38"/>
      <c r="F78" s="38"/>
      <c r="G78" s="38"/>
      <c r="H78" s="38">
        <v>1</v>
      </c>
      <c r="I78" s="38"/>
      <c r="J78" s="38"/>
      <c r="K78" s="38">
        <v>1</v>
      </c>
      <c r="L78" s="38"/>
      <c r="M78" s="38">
        <v>1</v>
      </c>
      <c r="N78" s="38">
        <v>1</v>
      </c>
      <c r="O78" s="38"/>
      <c r="P78" s="38"/>
      <c r="Q78" s="38"/>
      <c r="R78" s="38"/>
      <c r="S78" s="38"/>
      <c r="T78" s="38">
        <f t="shared" si="0"/>
        <v>4</v>
      </c>
      <c r="U78" s="42" cm="1">
        <f t="array" ref="U78">SUMPRODUCT(D78:R78,VLOOKUP($D$1:$R$1,$AG$8:$AH$22,2,FALSE))</f>
        <v>51500</v>
      </c>
      <c r="V78" s="4" t="s">
        <v>160</v>
      </c>
      <c r="W78" s="4"/>
      <c r="X78" s="4"/>
    </row>
    <row r="79" spans="1:25" ht="15" customHeight="1" x14ac:dyDescent="0.3">
      <c r="A79" s="37">
        <v>45930</v>
      </c>
      <c r="B79" s="38">
        <v>65</v>
      </c>
      <c r="C79" s="38"/>
      <c r="D79" s="38"/>
      <c r="E79" s="38"/>
      <c r="F79" s="38">
        <v>1</v>
      </c>
      <c r="G79" s="38">
        <v>1</v>
      </c>
      <c r="H79" s="38"/>
      <c r="I79" s="38"/>
      <c r="J79" s="38"/>
      <c r="K79" s="38"/>
      <c r="L79" s="38"/>
      <c r="M79" s="38"/>
      <c r="N79" s="38"/>
      <c r="O79" s="38"/>
      <c r="P79" s="38"/>
      <c r="Q79" s="38"/>
      <c r="R79" s="38"/>
      <c r="S79" s="38"/>
      <c r="T79" s="38">
        <f t="shared" si="0"/>
        <v>2</v>
      </c>
      <c r="U79" s="42" cm="1">
        <f t="array" ref="U79">SUMPRODUCT(D79:R79,VLOOKUP($D$1:$R$1,$AG$8:$AH$22,2,FALSE))</f>
        <v>115100</v>
      </c>
      <c r="V79" s="4" t="s">
        <v>161</v>
      </c>
      <c r="W79" s="4"/>
      <c r="X79" s="4"/>
    </row>
    <row r="80" spans="1:25" ht="15" customHeight="1" x14ac:dyDescent="0.3">
      <c r="A80" s="37">
        <v>45930</v>
      </c>
      <c r="B80" s="38">
        <v>66</v>
      </c>
      <c r="C80" s="38"/>
      <c r="D80" s="38"/>
      <c r="E80" s="38"/>
      <c r="F80" s="38"/>
      <c r="G80" s="38"/>
      <c r="H80" s="38">
        <v>1</v>
      </c>
      <c r="I80" s="38"/>
      <c r="J80" s="38"/>
      <c r="K80" s="38">
        <v>1</v>
      </c>
      <c r="L80" s="38"/>
      <c r="M80" s="38">
        <v>1</v>
      </c>
      <c r="N80" s="38"/>
      <c r="O80" s="38"/>
      <c r="P80" s="38"/>
      <c r="Q80" s="38"/>
      <c r="R80" s="38"/>
      <c r="S80" s="38"/>
      <c r="T80" s="38">
        <f t="shared" si="0"/>
        <v>3</v>
      </c>
      <c r="U80" s="42" cm="1">
        <f t="array" ref="U80">SUMPRODUCT(D80:R80,VLOOKUP($D$1:$R$1,$AG$8:$AH$22,2,FALSE))</f>
        <v>27500</v>
      </c>
      <c r="V80" s="4" t="s">
        <v>162</v>
      </c>
      <c r="W80" s="4"/>
      <c r="X80" s="4"/>
    </row>
    <row r="81" spans="1:25" ht="15" customHeight="1" x14ac:dyDescent="0.3">
      <c r="A81" s="37">
        <v>45930</v>
      </c>
      <c r="B81" s="38">
        <v>67</v>
      </c>
      <c r="C81" s="38"/>
      <c r="D81" s="38"/>
      <c r="E81" s="38"/>
      <c r="F81" s="38"/>
      <c r="G81" s="38"/>
      <c r="H81" s="38">
        <v>1</v>
      </c>
      <c r="I81" s="38"/>
      <c r="J81" s="38"/>
      <c r="K81" s="38">
        <v>1</v>
      </c>
      <c r="L81" s="38"/>
      <c r="M81" s="38">
        <v>1</v>
      </c>
      <c r="N81" s="38"/>
      <c r="O81" s="38"/>
      <c r="P81" s="38"/>
      <c r="Q81" s="38"/>
      <c r="R81" s="38"/>
      <c r="S81" s="38"/>
      <c r="T81" s="38">
        <f t="shared" si="0"/>
        <v>3</v>
      </c>
      <c r="U81" s="42" cm="1">
        <f t="array" ref="U81">SUMPRODUCT(D81:R81,VLOOKUP($D$1:$R$1,$AG$8:$AH$22,2,FALSE))</f>
        <v>27500</v>
      </c>
      <c r="V81" s="4" t="s">
        <v>163</v>
      </c>
      <c r="W81" s="4"/>
      <c r="X81" s="4"/>
    </row>
    <row r="82" spans="1:25" ht="15" customHeight="1" x14ac:dyDescent="0.3">
      <c r="A82" s="37">
        <v>45930</v>
      </c>
      <c r="B82" s="38">
        <v>68</v>
      </c>
      <c r="C82" s="38"/>
      <c r="D82" s="38">
        <v>1</v>
      </c>
      <c r="E82" s="38"/>
      <c r="F82" s="38"/>
      <c r="G82" s="38"/>
      <c r="H82" s="38"/>
      <c r="I82" s="38"/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38">
        <f t="shared" si="0"/>
        <v>1</v>
      </c>
      <c r="U82" s="42" cm="1">
        <f t="array" ref="U82">SUMPRODUCT(D82:R82,VLOOKUP($D$1:$R$1,$AG$8:$AH$22,2,FALSE))</f>
        <v>25400</v>
      </c>
      <c r="V82" s="4" t="s">
        <v>161</v>
      </c>
      <c r="W82" s="4"/>
      <c r="X82" s="4"/>
    </row>
    <row r="83" spans="1:25" ht="15" customHeight="1" x14ac:dyDescent="0.3">
      <c r="A83" s="37">
        <v>45930</v>
      </c>
      <c r="B83" s="38">
        <v>69</v>
      </c>
      <c r="C83" s="38"/>
      <c r="D83" s="38"/>
      <c r="E83" s="38">
        <v>1</v>
      </c>
      <c r="F83" s="38"/>
      <c r="G83" s="38"/>
      <c r="H83" s="38">
        <v>1</v>
      </c>
      <c r="I83" s="38"/>
      <c r="J83" s="38"/>
      <c r="K83" s="38">
        <v>1</v>
      </c>
      <c r="L83" s="38"/>
      <c r="M83" s="38">
        <v>1</v>
      </c>
      <c r="N83" s="38"/>
      <c r="O83" s="38"/>
      <c r="P83" s="38"/>
      <c r="Q83" s="38"/>
      <c r="R83" s="38"/>
      <c r="S83" s="38"/>
      <c r="T83" s="38">
        <f t="shared" si="0"/>
        <v>4</v>
      </c>
      <c r="U83" s="42" cm="1">
        <f t="array" ref="U83">SUMPRODUCT(D83:R83,VLOOKUP($D$1:$R$1,$AG$8:$AH$22,2,FALSE))</f>
        <v>59000</v>
      </c>
      <c r="V83" s="4" t="s">
        <v>161</v>
      </c>
      <c r="W83" s="4"/>
      <c r="X83" s="4"/>
    </row>
    <row r="84" spans="1:25" ht="15" customHeight="1" x14ac:dyDescent="0.3">
      <c r="A84" s="37">
        <v>45930</v>
      </c>
      <c r="B84" s="38">
        <v>70</v>
      </c>
      <c r="C84" s="38"/>
      <c r="D84" s="38"/>
      <c r="E84" s="38">
        <v>1</v>
      </c>
      <c r="F84" s="38"/>
      <c r="G84" s="38"/>
      <c r="H84" s="38"/>
      <c r="I84" s="38"/>
      <c r="J84" s="38"/>
      <c r="K84" s="38"/>
      <c r="L84" s="38"/>
      <c r="M84" s="38"/>
      <c r="N84" s="38"/>
      <c r="O84" s="38"/>
      <c r="P84" s="38"/>
      <c r="Q84" s="38"/>
      <c r="R84" s="38"/>
      <c r="S84" s="38"/>
      <c r="T84" s="38">
        <f t="shared" si="0"/>
        <v>1</v>
      </c>
      <c r="U84" s="42" cm="1">
        <f t="array" ref="U84">SUMPRODUCT(D84:R84,VLOOKUP($D$1:$R$1,$AG$8:$AH$22,2,FALSE))</f>
        <v>31500</v>
      </c>
      <c r="V84" s="4" t="s">
        <v>162</v>
      </c>
      <c r="W84" s="4"/>
      <c r="X84" s="4"/>
    </row>
    <row r="85" spans="1:25" ht="15" customHeight="1" x14ac:dyDescent="0.3">
      <c r="A85" s="37">
        <v>45930</v>
      </c>
      <c r="B85" s="38">
        <v>71</v>
      </c>
      <c r="C85" s="38"/>
      <c r="D85" s="38"/>
      <c r="E85" s="38"/>
      <c r="F85" s="38"/>
      <c r="G85" s="38"/>
      <c r="H85" s="38"/>
      <c r="I85" s="38"/>
      <c r="J85" s="38"/>
      <c r="K85" s="38"/>
      <c r="L85" s="38"/>
      <c r="M85" s="38">
        <v>4</v>
      </c>
      <c r="N85" s="38"/>
      <c r="O85" s="38"/>
      <c r="P85" s="38"/>
      <c r="Q85" s="38"/>
      <c r="R85" s="38"/>
      <c r="S85" s="38"/>
      <c r="T85" s="38">
        <f t="shared" si="0"/>
        <v>4</v>
      </c>
      <c r="U85" s="42" cm="1">
        <f t="array" ref="U85">SUMPRODUCT(D85:R85,VLOOKUP($D$1:$R$1,$AG$8:$AH$22,2,FALSE))</f>
        <v>30000</v>
      </c>
      <c r="V85" s="4" t="s">
        <v>160</v>
      </c>
      <c r="W85" s="4"/>
      <c r="X85" s="4"/>
    </row>
    <row r="86" spans="1:25" ht="15" customHeight="1" x14ac:dyDescent="0.3">
      <c r="A86" s="37">
        <v>45931</v>
      </c>
      <c r="B86" s="38">
        <v>72</v>
      </c>
      <c r="C86" s="38"/>
      <c r="D86" s="38"/>
      <c r="E86" s="38"/>
      <c r="F86" s="38"/>
      <c r="G86" s="38"/>
      <c r="H86" s="38"/>
      <c r="I86" s="38"/>
      <c r="J86" s="38"/>
      <c r="K86" s="38">
        <v>3</v>
      </c>
      <c r="L86" s="38"/>
      <c r="M86" s="38"/>
      <c r="N86" s="38">
        <v>1</v>
      </c>
      <c r="O86" s="38"/>
      <c r="P86" s="38"/>
      <c r="Q86" s="38"/>
      <c r="R86" s="38"/>
      <c r="S86" s="38"/>
      <c r="T86" s="38">
        <f t="shared" si="0"/>
        <v>4</v>
      </c>
      <c r="U86" s="42" cm="1">
        <f t="array" ref="U86">SUMPRODUCT(D86:R86,VLOOKUP($D$1:$R$1,$AG$8:$AH$22,2,FALSE))</f>
        <v>54000</v>
      </c>
      <c r="V86" s="4" t="s">
        <v>162</v>
      </c>
      <c r="W86" s="4"/>
      <c r="X86" s="4"/>
    </row>
    <row r="87" spans="1:25" ht="15" customHeight="1" x14ac:dyDescent="0.3">
      <c r="A87" s="37">
        <v>45931</v>
      </c>
      <c r="B87" s="38">
        <v>73</v>
      </c>
      <c r="C87" s="38"/>
      <c r="D87" s="38"/>
      <c r="E87" s="38"/>
      <c r="F87" s="38">
        <v>1</v>
      </c>
      <c r="G87" s="38"/>
      <c r="H87" s="38"/>
      <c r="I87" s="38"/>
      <c r="J87" s="38"/>
      <c r="K87" s="38"/>
      <c r="L87" s="38"/>
      <c r="M87" s="38"/>
      <c r="N87" s="38"/>
      <c r="O87" s="38"/>
      <c r="P87" s="38"/>
      <c r="Q87" s="38"/>
      <c r="R87" s="38"/>
      <c r="S87" s="38"/>
      <c r="T87" s="38">
        <f t="shared" si="0"/>
        <v>1</v>
      </c>
      <c r="U87" s="42" cm="1">
        <f t="array" ref="U87">SUMPRODUCT(D87:R87,VLOOKUP($D$1:$R$1,$AG$8:$AH$22,2,FALSE))</f>
        <v>81200</v>
      </c>
      <c r="V87" s="4" t="s">
        <v>162</v>
      </c>
      <c r="W87" s="4"/>
      <c r="X87" s="4"/>
    </row>
    <row r="88" spans="1:25" ht="15" customHeight="1" x14ac:dyDescent="0.3">
      <c r="A88" s="37">
        <v>45931</v>
      </c>
      <c r="B88" s="38">
        <v>74</v>
      </c>
      <c r="C88" s="38"/>
      <c r="D88" s="38"/>
      <c r="E88" s="38"/>
      <c r="F88" s="38"/>
      <c r="G88" s="38"/>
      <c r="H88" s="38"/>
      <c r="I88" s="38"/>
      <c r="J88" s="38"/>
      <c r="K88" s="38">
        <v>1</v>
      </c>
      <c r="L88" s="38">
        <v>1</v>
      </c>
      <c r="M88" s="38">
        <v>1</v>
      </c>
      <c r="N88" s="38"/>
      <c r="O88" s="38"/>
      <c r="P88" s="38"/>
      <c r="Q88" s="38"/>
      <c r="R88" s="38"/>
      <c r="S88" s="38"/>
      <c r="T88" s="38">
        <f t="shared" si="0"/>
        <v>3</v>
      </c>
      <c r="U88" s="42" cm="1">
        <f t="array" ref="U88">SUMPRODUCT(D88:R88,VLOOKUP($D$1:$R$1,$AG$8:$AH$22,2,FALSE))</f>
        <v>37400</v>
      </c>
      <c r="V88" s="4" t="s">
        <v>162</v>
      </c>
      <c r="W88" s="4"/>
      <c r="X88" s="4"/>
    </row>
    <row r="89" spans="1:25" ht="15" customHeight="1" x14ac:dyDescent="0.3">
      <c r="A89" s="37">
        <v>45931</v>
      </c>
      <c r="B89" s="38">
        <v>75</v>
      </c>
      <c r="C89" s="38"/>
      <c r="D89" s="38"/>
      <c r="E89" s="38"/>
      <c r="F89" s="38"/>
      <c r="G89" s="38"/>
      <c r="H89" s="38"/>
      <c r="I89" s="38"/>
      <c r="J89" s="38"/>
      <c r="K89" s="38"/>
      <c r="L89" s="38">
        <v>5</v>
      </c>
      <c r="M89" s="38"/>
      <c r="N89" s="38"/>
      <c r="O89" s="38"/>
      <c r="P89" s="38"/>
      <c r="Q89" s="38"/>
      <c r="R89" s="38"/>
      <c r="S89" s="38"/>
      <c r="T89" s="38">
        <f t="shared" si="0"/>
        <v>5</v>
      </c>
      <c r="U89" s="42" cm="1">
        <f t="array" ref="U89">SUMPRODUCT(D89:R89,VLOOKUP($D$1:$R$1,$AG$8:$AH$22,2,FALSE))</f>
        <v>99500</v>
      </c>
      <c r="V89" s="4" t="s">
        <v>160</v>
      </c>
      <c r="W89" s="4"/>
      <c r="X89" s="4"/>
    </row>
    <row r="90" spans="1:25" ht="15" customHeight="1" x14ac:dyDescent="0.3">
      <c r="A90" s="37">
        <v>45931</v>
      </c>
      <c r="B90" s="38">
        <v>76</v>
      </c>
      <c r="C90" s="38"/>
      <c r="D90" s="38">
        <v>1</v>
      </c>
      <c r="E90" s="38"/>
      <c r="F90" s="38"/>
      <c r="G90" s="38"/>
      <c r="H90" s="38">
        <v>1</v>
      </c>
      <c r="I90" s="38"/>
      <c r="J90" s="38"/>
      <c r="K90" s="38">
        <v>1</v>
      </c>
      <c r="L90" s="38"/>
      <c r="M90" s="38">
        <v>1</v>
      </c>
      <c r="N90" s="38"/>
      <c r="O90" s="38"/>
      <c r="P90" s="38"/>
      <c r="Q90" s="38"/>
      <c r="R90" s="38"/>
      <c r="S90" s="38"/>
      <c r="T90" s="38">
        <f t="shared" si="0"/>
        <v>4</v>
      </c>
      <c r="U90" s="42" cm="1">
        <f t="array" ref="U90">SUMPRODUCT(D90:R90,VLOOKUP($D$1:$R$1,$AG$8:$AH$22,2,FALSE))</f>
        <v>52900</v>
      </c>
      <c r="V90" s="4" t="s">
        <v>160</v>
      </c>
      <c r="W90" s="4"/>
    </row>
    <row r="91" spans="1:25" ht="15" customHeight="1" x14ac:dyDescent="0.3">
      <c r="A91" s="37">
        <v>45931</v>
      </c>
      <c r="B91" s="38">
        <v>77</v>
      </c>
      <c r="C91" s="38"/>
      <c r="D91" s="38"/>
      <c r="E91" s="38"/>
      <c r="F91" s="38">
        <v>1</v>
      </c>
      <c r="G91" s="38"/>
      <c r="H91" s="38"/>
      <c r="I91" s="38"/>
      <c r="J91" s="38"/>
      <c r="K91" s="38"/>
      <c r="L91" s="38"/>
      <c r="M91" s="38"/>
      <c r="N91" s="38"/>
      <c r="O91" s="38"/>
      <c r="P91" s="38"/>
      <c r="Q91" s="38"/>
      <c r="R91" s="38"/>
      <c r="S91" s="38"/>
      <c r="T91" s="38">
        <f t="shared" si="0"/>
        <v>1</v>
      </c>
      <c r="U91" s="42">
        <v>80000</v>
      </c>
      <c r="V91" s="4" t="s">
        <v>162</v>
      </c>
      <c r="W91" s="4"/>
      <c r="Y91" s="4" t="s">
        <v>164</v>
      </c>
    </row>
    <row r="92" spans="1:25" ht="15" customHeight="1" x14ac:dyDescent="0.3">
      <c r="A92" s="37">
        <v>45931</v>
      </c>
      <c r="B92" s="38">
        <v>78</v>
      </c>
      <c r="C92" s="38"/>
      <c r="D92" s="38"/>
      <c r="E92" s="38"/>
      <c r="F92" s="38"/>
      <c r="G92" s="38"/>
      <c r="H92" s="38">
        <v>1</v>
      </c>
      <c r="I92" s="38"/>
      <c r="J92" s="38"/>
      <c r="K92" s="38"/>
      <c r="L92" s="38"/>
      <c r="M92" s="38">
        <v>2</v>
      </c>
      <c r="N92" s="38"/>
      <c r="O92" s="38"/>
      <c r="P92" s="38"/>
      <c r="Q92" s="38"/>
      <c r="R92" s="38"/>
      <c r="S92" s="38"/>
      <c r="T92" s="38">
        <f t="shared" si="0"/>
        <v>3</v>
      </c>
      <c r="U92" s="42" cm="1">
        <f t="array" ref="U92">SUMPRODUCT(D92:R92,VLOOKUP($D$1:$R$1,$AG$8:$AH$22,2,FALSE))</f>
        <v>25000</v>
      </c>
      <c r="V92" s="4" t="s">
        <v>160</v>
      </c>
      <c r="W92" s="4"/>
    </row>
    <row r="93" spans="1:25" ht="15" customHeight="1" x14ac:dyDescent="0.3">
      <c r="A93" s="37">
        <v>45931</v>
      </c>
      <c r="B93" s="38">
        <v>79</v>
      </c>
      <c r="C93" s="38"/>
      <c r="D93" s="38"/>
      <c r="E93" s="38"/>
      <c r="F93" s="38"/>
      <c r="G93" s="38"/>
      <c r="H93" s="38">
        <v>1</v>
      </c>
      <c r="I93" s="38"/>
      <c r="J93" s="38"/>
      <c r="K93" s="38">
        <v>1</v>
      </c>
      <c r="L93" s="38"/>
      <c r="M93" s="38">
        <v>1</v>
      </c>
      <c r="N93" s="38"/>
      <c r="O93" s="38"/>
      <c r="P93" s="38"/>
      <c r="Q93" s="38"/>
      <c r="R93" s="38"/>
      <c r="S93" s="38"/>
      <c r="T93" s="38">
        <f t="shared" si="0"/>
        <v>3</v>
      </c>
      <c r="U93" s="42" cm="1">
        <f t="array" ref="U93">SUMPRODUCT(D93:R93,VLOOKUP($D$1:$R$1,$AG$8:$AH$22,2,FALSE))</f>
        <v>27500</v>
      </c>
      <c r="V93" s="4" t="s">
        <v>162</v>
      </c>
      <c r="W93" s="4"/>
    </row>
    <row r="94" spans="1:25" ht="15" customHeight="1" x14ac:dyDescent="0.3">
      <c r="A94" s="37">
        <v>45931</v>
      </c>
      <c r="B94" s="38">
        <v>80</v>
      </c>
      <c r="C94" s="38"/>
      <c r="D94" s="38"/>
      <c r="E94" s="38"/>
      <c r="F94" s="38"/>
      <c r="G94" s="38"/>
      <c r="H94" s="38">
        <v>1</v>
      </c>
      <c r="I94" s="38"/>
      <c r="J94" s="38"/>
      <c r="K94" s="38"/>
      <c r="L94" s="38"/>
      <c r="M94" s="38">
        <v>1</v>
      </c>
      <c r="N94" s="38"/>
      <c r="O94" s="38"/>
      <c r="P94" s="38"/>
      <c r="Q94" s="38"/>
      <c r="R94" s="38"/>
      <c r="S94" s="38"/>
      <c r="T94" s="38">
        <f t="shared" si="0"/>
        <v>2</v>
      </c>
      <c r="U94" s="42" cm="1">
        <f t="array" ref="U94">SUMPRODUCT(D94:R94,VLOOKUP($D$1:$R$1,$AG$8:$AH$22,2,FALSE))</f>
        <v>17500</v>
      </c>
      <c r="V94" s="4" t="s">
        <v>163</v>
      </c>
      <c r="W94" s="4"/>
    </row>
    <row r="95" spans="1:25" ht="15" customHeight="1" x14ac:dyDescent="0.3">
      <c r="A95" s="37">
        <v>45931</v>
      </c>
      <c r="B95" s="38">
        <v>81</v>
      </c>
      <c r="C95" s="38"/>
      <c r="D95" s="38">
        <v>1</v>
      </c>
      <c r="E95" s="38"/>
      <c r="F95" s="38"/>
      <c r="G95" s="38"/>
      <c r="H95" s="38"/>
      <c r="I95" s="38"/>
      <c r="J95" s="38"/>
      <c r="K95" s="38"/>
      <c r="L95" s="38"/>
      <c r="M95" s="38"/>
      <c r="N95" s="38"/>
      <c r="O95" s="38"/>
      <c r="P95" s="38"/>
      <c r="Q95" s="38"/>
      <c r="R95" s="38"/>
      <c r="S95" s="38"/>
      <c r="T95" s="38">
        <f t="shared" si="0"/>
        <v>1</v>
      </c>
      <c r="U95" s="42" cm="1">
        <f t="array" ref="U95">SUMPRODUCT(D95:R95,VLOOKUP($D$1:$R$1,$AG$8:$AH$22,2,FALSE))</f>
        <v>25400</v>
      </c>
      <c r="V95" s="4" t="s">
        <v>162</v>
      </c>
      <c r="W95" s="4"/>
    </row>
    <row r="96" spans="1:25" ht="15" customHeight="1" x14ac:dyDescent="0.3">
      <c r="A96" s="37">
        <v>45931</v>
      </c>
      <c r="B96" s="38">
        <v>82</v>
      </c>
      <c r="C96" s="38"/>
      <c r="D96" s="38"/>
      <c r="E96" s="38"/>
      <c r="F96" s="38"/>
      <c r="G96" s="38"/>
      <c r="H96" s="38"/>
      <c r="I96" s="38"/>
      <c r="J96" s="38"/>
      <c r="K96" s="38"/>
      <c r="L96" s="38">
        <v>18</v>
      </c>
      <c r="M96" s="38"/>
      <c r="N96" s="38"/>
      <c r="O96" s="38"/>
      <c r="P96" s="38"/>
      <c r="Q96" s="38"/>
      <c r="R96" s="38"/>
      <c r="S96" s="38"/>
      <c r="T96" s="38">
        <f t="shared" si="0"/>
        <v>18</v>
      </c>
      <c r="U96" s="42" cm="1">
        <f t="array" ref="U96">SUMPRODUCT(D96:R96,VLOOKUP($D$1:$R$1,$AG$8:$AH$22,2,FALSE))</f>
        <v>358200</v>
      </c>
      <c r="V96" s="4" t="s">
        <v>162</v>
      </c>
      <c r="W96" s="4"/>
    </row>
    <row r="97" spans="1:25" ht="15" customHeight="1" x14ac:dyDescent="0.3">
      <c r="A97" s="37">
        <v>45932</v>
      </c>
      <c r="B97" s="38">
        <v>83</v>
      </c>
      <c r="C97" s="38"/>
      <c r="D97" s="38"/>
      <c r="E97" s="38"/>
      <c r="F97" s="38"/>
      <c r="G97" s="38"/>
      <c r="H97" s="38"/>
      <c r="I97" s="38"/>
      <c r="J97" s="38"/>
      <c r="K97" s="38">
        <v>1</v>
      </c>
      <c r="L97" s="38">
        <v>1</v>
      </c>
      <c r="M97" s="38"/>
      <c r="N97" s="38"/>
      <c r="O97" s="38"/>
      <c r="P97" s="38"/>
      <c r="Q97" s="38"/>
      <c r="R97" s="38"/>
      <c r="S97" s="38"/>
      <c r="T97" s="38">
        <f t="shared" si="0"/>
        <v>2</v>
      </c>
      <c r="U97" s="42" cm="1">
        <f t="array" ref="U97">SUMPRODUCT(D97:R97,VLOOKUP($D$1:$R$1,$AG$8:$AH$22,2,FALSE))</f>
        <v>29900</v>
      </c>
      <c r="V97" s="4" t="s">
        <v>162</v>
      </c>
      <c r="W97" s="4"/>
    </row>
    <row r="98" spans="1:25" ht="15" customHeight="1" x14ac:dyDescent="0.3">
      <c r="A98" s="37">
        <v>45932</v>
      </c>
      <c r="B98" s="38">
        <v>84</v>
      </c>
      <c r="C98" s="38"/>
      <c r="D98" s="38"/>
      <c r="E98" s="38"/>
      <c r="F98" s="38">
        <v>1</v>
      </c>
      <c r="G98" s="38"/>
      <c r="H98" s="38"/>
      <c r="I98" s="38"/>
      <c r="J98" s="38"/>
      <c r="K98" s="38">
        <v>2</v>
      </c>
      <c r="L98" s="38"/>
      <c r="M98" s="38"/>
      <c r="N98" s="38"/>
      <c r="O98" s="38"/>
      <c r="P98" s="38"/>
      <c r="Q98" s="38"/>
      <c r="R98" s="38"/>
      <c r="S98" s="38"/>
      <c r="T98" s="38">
        <f t="shared" si="0"/>
        <v>3</v>
      </c>
      <c r="U98" s="42" cm="1">
        <f t="array" ref="U98">SUMPRODUCT(D98:R98,VLOOKUP($D$1:$R$1,$AG$8:$AH$22,2,FALSE))</f>
        <v>101200</v>
      </c>
      <c r="V98" s="4" t="s">
        <v>162</v>
      </c>
      <c r="W98" s="4"/>
    </row>
    <row r="99" spans="1:25" ht="15" customHeight="1" x14ac:dyDescent="0.3">
      <c r="A99" s="37">
        <v>45932</v>
      </c>
      <c r="B99" s="38">
        <v>85</v>
      </c>
      <c r="C99" s="38"/>
      <c r="D99" s="38">
        <v>1</v>
      </c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>
        <f t="shared" si="0"/>
        <v>1</v>
      </c>
      <c r="U99" s="42" cm="1">
        <f t="array" ref="U99">SUMPRODUCT(D99:R99,VLOOKUP($D$1:$R$1,$AG$8:$AH$22,2,FALSE))</f>
        <v>25400</v>
      </c>
      <c r="V99" s="4" t="s">
        <v>160</v>
      </c>
      <c r="W99" s="4"/>
    </row>
    <row r="100" spans="1:25" ht="15" customHeight="1" x14ac:dyDescent="0.3">
      <c r="A100" s="37">
        <v>45932</v>
      </c>
      <c r="B100" s="38">
        <v>86</v>
      </c>
      <c r="C100" s="38"/>
      <c r="D100" s="38"/>
      <c r="E100" s="38"/>
      <c r="F100" s="38"/>
      <c r="G100" s="38"/>
      <c r="H100" s="38"/>
      <c r="I100" s="38"/>
      <c r="J100" s="38"/>
      <c r="K100" s="38">
        <v>1</v>
      </c>
      <c r="L100" s="38"/>
      <c r="M100" s="38"/>
      <c r="N100" s="38">
        <v>1</v>
      </c>
      <c r="O100" s="38">
        <v>1</v>
      </c>
      <c r="P100" s="38"/>
      <c r="Q100" s="38"/>
      <c r="R100" s="38">
        <v>1</v>
      </c>
      <c r="S100" s="38"/>
      <c r="T100" s="38">
        <f t="shared" si="0"/>
        <v>4</v>
      </c>
      <c r="U100" s="42" cm="1">
        <f t="array" ref="U100">SUMPRODUCT(D100:R100,VLOOKUP($D$1:$R$1,$AG$8:$AH$22,2,FALSE))</f>
        <v>60000</v>
      </c>
      <c r="V100" s="4" t="s">
        <v>161</v>
      </c>
      <c r="W100" s="4"/>
    </row>
    <row r="101" spans="1:25" ht="15" customHeight="1" x14ac:dyDescent="0.3">
      <c r="A101" s="47">
        <v>45932</v>
      </c>
      <c r="B101" s="38">
        <v>87</v>
      </c>
      <c r="C101" s="38"/>
      <c r="D101" s="38"/>
      <c r="E101" s="38"/>
      <c r="F101" s="38"/>
      <c r="G101" s="38"/>
      <c r="H101" s="38"/>
      <c r="I101" s="38"/>
      <c r="J101" s="38"/>
      <c r="K101" s="38"/>
      <c r="L101" s="38">
        <v>2</v>
      </c>
      <c r="M101" s="38"/>
      <c r="N101" s="38"/>
      <c r="O101" s="38"/>
      <c r="P101" s="38"/>
      <c r="Q101" s="38"/>
      <c r="R101" s="38"/>
      <c r="S101" s="38"/>
      <c r="T101" s="38">
        <f t="shared" si="0"/>
        <v>2</v>
      </c>
      <c r="U101" s="42" cm="1">
        <f t="array" ref="U101">SUMPRODUCT(D101:R101,VLOOKUP($D$1:$R$1,$AG$8:$AH$22,2,FALSE))</f>
        <v>39800</v>
      </c>
      <c r="V101" s="4" t="s">
        <v>165</v>
      </c>
      <c r="W101" s="4"/>
      <c r="X101" s="4" t="s">
        <v>166</v>
      </c>
      <c r="Y101" s="4" t="s">
        <v>167</v>
      </c>
    </row>
    <row r="102" spans="1:25" ht="15" customHeight="1" x14ac:dyDescent="0.3">
      <c r="A102" s="37">
        <v>45933</v>
      </c>
      <c r="B102" s="38">
        <v>88</v>
      </c>
      <c r="C102" s="38"/>
      <c r="D102" s="38"/>
      <c r="E102" s="38"/>
      <c r="F102" s="38"/>
      <c r="G102" s="38"/>
      <c r="H102" s="38"/>
      <c r="I102" s="38"/>
      <c r="J102" s="38"/>
      <c r="K102" s="38"/>
      <c r="L102" s="38"/>
      <c r="M102" s="38"/>
      <c r="N102" s="38">
        <v>1</v>
      </c>
      <c r="O102" s="38">
        <v>1</v>
      </c>
      <c r="P102" s="38"/>
      <c r="Q102" s="38"/>
      <c r="R102" s="38"/>
      <c r="S102" s="38"/>
      <c r="T102" s="38">
        <f t="shared" si="0"/>
        <v>2</v>
      </c>
      <c r="U102" s="42" cm="1">
        <f t="array" ref="U102">SUMPRODUCT(D102:R102,VLOOKUP($D$1:$R$1,$AG$8:$AH$22,2,FALSE))</f>
        <v>40000</v>
      </c>
      <c r="V102" s="4" t="s">
        <v>162</v>
      </c>
      <c r="W102" s="4"/>
    </row>
    <row r="103" spans="1:25" ht="15" customHeight="1" x14ac:dyDescent="0.3">
      <c r="A103" s="37">
        <v>45933</v>
      </c>
      <c r="B103" s="38">
        <v>89</v>
      </c>
      <c r="C103" s="38"/>
      <c r="D103" s="38"/>
      <c r="E103" s="38"/>
      <c r="F103" s="38">
        <v>1</v>
      </c>
      <c r="G103" s="38">
        <v>1</v>
      </c>
      <c r="H103" s="38"/>
      <c r="I103" s="38"/>
      <c r="J103" s="38"/>
      <c r="K103" s="38"/>
      <c r="L103" s="38"/>
      <c r="M103" s="38"/>
      <c r="N103" s="38"/>
      <c r="O103" s="38"/>
      <c r="P103" s="38"/>
      <c r="Q103" s="38"/>
      <c r="R103" s="38"/>
      <c r="S103" s="38"/>
      <c r="T103" s="38">
        <f t="shared" si="0"/>
        <v>2</v>
      </c>
      <c r="U103" s="42" cm="1">
        <f t="array" ref="U103">SUMPRODUCT(D103:R103,VLOOKUP($D$1:$R$1,$AG$8:$AH$22,2,FALSE))</f>
        <v>115100</v>
      </c>
      <c r="V103" s="4" t="s">
        <v>161</v>
      </c>
      <c r="W103" s="4"/>
    </row>
    <row r="104" spans="1:25" ht="15" customHeight="1" x14ac:dyDescent="0.3">
      <c r="A104" s="37">
        <v>45933</v>
      </c>
      <c r="B104" s="38">
        <v>90</v>
      </c>
      <c r="C104" s="38"/>
      <c r="D104" s="38"/>
      <c r="E104" s="38"/>
      <c r="F104" s="38"/>
      <c r="G104" s="38"/>
      <c r="H104" s="38">
        <v>1</v>
      </c>
      <c r="I104" s="38"/>
      <c r="J104" s="38"/>
      <c r="K104" s="38">
        <v>1</v>
      </c>
      <c r="L104" s="38"/>
      <c r="M104" s="38"/>
      <c r="N104" s="38"/>
      <c r="O104" s="38"/>
      <c r="P104" s="38"/>
      <c r="Q104" s="38"/>
      <c r="R104" s="38">
        <v>1</v>
      </c>
      <c r="S104" s="38"/>
      <c r="T104" s="38">
        <f t="shared" si="0"/>
        <v>3</v>
      </c>
      <c r="U104" s="42" cm="1">
        <f t="array" ref="U104">SUMPRODUCT(D104:R104,VLOOKUP($D$1:$R$1,$AG$8:$AH$22,2,FALSE))</f>
        <v>30000</v>
      </c>
      <c r="V104" s="4" t="s">
        <v>162</v>
      </c>
      <c r="W104" s="4"/>
    </row>
    <row r="105" spans="1:25" ht="15" customHeight="1" x14ac:dyDescent="0.3">
      <c r="A105" s="37">
        <v>45933</v>
      </c>
      <c r="B105" s="38">
        <v>91</v>
      </c>
      <c r="C105" s="38"/>
      <c r="D105" s="38"/>
      <c r="E105" s="38"/>
      <c r="F105" s="38">
        <v>1</v>
      </c>
      <c r="G105" s="38"/>
      <c r="H105" s="38"/>
      <c r="I105" s="38"/>
      <c r="J105" s="38"/>
      <c r="K105" s="38"/>
      <c r="L105" s="38"/>
      <c r="M105" s="38"/>
      <c r="N105" s="38"/>
      <c r="O105" s="38"/>
      <c r="P105" s="38"/>
      <c r="Q105" s="38"/>
      <c r="R105" s="38"/>
      <c r="S105" s="38"/>
      <c r="T105" s="38">
        <f t="shared" si="0"/>
        <v>1</v>
      </c>
      <c r="U105" s="42" cm="1">
        <f t="array" ref="U105">SUMPRODUCT(D105:R105,VLOOKUP($D$1:$R$1,$AG$8:$AH$22,2,FALSE))</f>
        <v>81200</v>
      </c>
      <c r="V105" s="4" t="s">
        <v>161</v>
      </c>
      <c r="W105" s="4"/>
    </row>
    <row r="106" spans="1:25" ht="15" customHeight="1" x14ac:dyDescent="0.3">
      <c r="A106" s="37">
        <v>45935</v>
      </c>
      <c r="B106" s="38">
        <v>92</v>
      </c>
      <c r="C106" s="38"/>
      <c r="D106" s="38"/>
      <c r="E106" s="38">
        <v>1</v>
      </c>
      <c r="F106" s="38">
        <v>1</v>
      </c>
      <c r="G106" s="38"/>
      <c r="H106" s="38">
        <v>1</v>
      </c>
      <c r="I106" s="38"/>
      <c r="J106" s="38"/>
      <c r="K106" s="38">
        <v>1</v>
      </c>
      <c r="L106" s="38"/>
      <c r="M106" s="38"/>
      <c r="N106" s="38"/>
      <c r="O106" s="38"/>
      <c r="P106" s="38"/>
      <c r="Q106" s="38"/>
      <c r="R106" s="38"/>
      <c r="S106" s="38"/>
      <c r="T106" s="38">
        <f t="shared" si="0"/>
        <v>4</v>
      </c>
      <c r="U106" s="42" cm="1">
        <f t="array" ref="U106">SUMPRODUCT(D106:R106,VLOOKUP($D$1:$R$1,$AG$8:$AH$22,2,FALSE))</f>
        <v>132700</v>
      </c>
      <c r="V106" s="4" t="s">
        <v>161</v>
      </c>
      <c r="W106" s="4"/>
      <c r="X106" s="4" t="s">
        <v>168</v>
      </c>
    </row>
    <row r="107" spans="1:25" ht="15" customHeight="1" x14ac:dyDescent="0.3">
      <c r="A107" s="37">
        <v>45935</v>
      </c>
      <c r="B107" s="38">
        <v>93</v>
      </c>
      <c r="C107" s="38"/>
      <c r="D107" s="38">
        <v>1</v>
      </c>
      <c r="E107" s="38"/>
      <c r="F107" s="38"/>
      <c r="G107" s="38"/>
      <c r="H107" s="38"/>
      <c r="I107" s="38"/>
      <c r="J107" s="38"/>
      <c r="K107" s="38">
        <v>1</v>
      </c>
      <c r="L107" s="38"/>
      <c r="M107" s="38"/>
      <c r="N107" s="38"/>
      <c r="O107" s="38"/>
      <c r="P107" s="38"/>
      <c r="Q107" s="38"/>
      <c r="R107" s="38"/>
      <c r="S107" s="38"/>
      <c r="T107" s="38">
        <f t="shared" si="0"/>
        <v>2</v>
      </c>
      <c r="U107" s="42" cm="1">
        <f t="array" ref="U107">SUMPRODUCT(D107:R107,VLOOKUP($D$1:$R$1,$AG$8:$AH$22,2,FALSE))</f>
        <v>35400</v>
      </c>
      <c r="V107" s="4" t="s">
        <v>163</v>
      </c>
      <c r="W107" s="4"/>
    </row>
    <row r="108" spans="1:25" ht="15" customHeight="1" x14ac:dyDescent="0.3">
      <c r="A108" s="37">
        <v>45935</v>
      </c>
      <c r="B108" s="38">
        <v>94</v>
      </c>
      <c r="C108" s="38"/>
      <c r="D108" s="38"/>
      <c r="E108" s="38">
        <v>1</v>
      </c>
      <c r="F108" s="38"/>
      <c r="G108" s="38"/>
      <c r="H108" s="38"/>
      <c r="I108" s="38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>
        <f t="shared" si="0"/>
        <v>1</v>
      </c>
      <c r="U108" s="42" cm="1">
        <f t="array" ref="U108">SUMPRODUCT(D108:R108,VLOOKUP($D$1:$R$1,$AG$8:$AH$22,2,FALSE))</f>
        <v>31500</v>
      </c>
      <c r="V108" s="4" t="s">
        <v>163</v>
      </c>
      <c r="W108" s="4"/>
    </row>
    <row r="109" spans="1:25" ht="15" customHeight="1" x14ac:dyDescent="0.3">
      <c r="A109" s="37">
        <v>45935</v>
      </c>
      <c r="B109" s="38">
        <v>95</v>
      </c>
      <c r="C109" s="38"/>
      <c r="D109" s="38"/>
      <c r="E109" s="38"/>
      <c r="F109" s="38"/>
      <c r="G109" s="38"/>
      <c r="H109" s="38"/>
      <c r="I109" s="38"/>
      <c r="J109" s="38"/>
      <c r="K109" s="38"/>
      <c r="L109" s="38"/>
      <c r="M109" s="38"/>
      <c r="N109" s="38"/>
      <c r="O109" s="38"/>
      <c r="P109" s="38"/>
      <c r="Q109" s="38"/>
      <c r="R109" s="38">
        <v>3</v>
      </c>
      <c r="S109" s="38"/>
      <c r="T109" s="38">
        <f t="shared" si="0"/>
        <v>3</v>
      </c>
      <c r="U109" s="42" cm="1">
        <f t="array" ref="U109">SUMPRODUCT(D109:R109,VLOOKUP($D$1:$R$1,$AG$8:$AH$22,2,FALSE))</f>
        <v>30000</v>
      </c>
      <c r="V109" s="4" t="s">
        <v>160</v>
      </c>
      <c r="W109" s="4"/>
    </row>
    <row r="110" spans="1:25" ht="15" customHeight="1" x14ac:dyDescent="0.3">
      <c r="A110" s="37">
        <v>45935</v>
      </c>
      <c r="B110" s="38">
        <v>96</v>
      </c>
      <c r="C110" s="38"/>
      <c r="D110" s="38"/>
      <c r="E110" s="38"/>
      <c r="F110" s="38"/>
      <c r="G110" s="38"/>
      <c r="H110" s="38">
        <v>1</v>
      </c>
      <c r="I110" s="38"/>
      <c r="J110" s="38"/>
      <c r="K110" s="38"/>
      <c r="L110" s="38"/>
      <c r="M110" s="38"/>
      <c r="N110" s="38">
        <v>1</v>
      </c>
      <c r="O110" s="38"/>
      <c r="P110" s="38"/>
      <c r="Q110" s="38"/>
      <c r="R110" s="38"/>
      <c r="S110" s="38"/>
      <c r="T110" s="38">
        <f t="shared" si="0"/>
        <v>2</v>
      </c>
      <c r="U110" s="42" cm="1">
        <f t="array" ref="U110">SUMPRODUCT(D110:R110,VLOOKUP($D$1:$R$1,$AG$8:$AH$22,2,FALSE))</f>
        <v>34000</v>
      </c>
      <c r="V110" s="4" t="s">
        <v>162</v>
      </c>
      <c r="W110" s="4"/>
    </row>
    <row r="111" spans="1:25" ht="15" customHeight="1" x14ac:dyDescent="0.3">
      <c r="A111" s="37">
        <v>45935</v>
      </c>
      <c r="B111" s="38">
        <v>97</v>
      </c>
      <c r="C111" s="38"/>
      <c r="D111" s="38"/>
      <c r="E111" s="38"/>
      <c r="F111" s="38">
        <v>1</v>
      </c>
      <c r="G111" s="38"/>
      <c r="H111" s="38">
        <v>1</v>
      </c>
      <c r="I111" s="38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>
        <f t="shared" si="0"/>
        <v>2</v>
      </c>
      <c r="U111" s="42" cm="1">
        <f t="array" ref="U111">SUMPRODUCT(D111:R111,VLOOKUP($D$1:$R$1,$AG$8:$AH$22,2,FALSE))</f>
        <v>91200</v>
      </c>
      <c r="V111" s="4" t="s">
        <v>162</v>
      </c>
      <c r="W111" s="4"/>
    </row>
    <row r="112" spans="1:25" ht="15" customHeight="1" x14ac:dyDescent="0.3">
      <c r="A112" s="37">
        <v>45936</v>
      </c>
      <c r="B112" s="38">
        <v>98</v>
      </c>
      <c r="C112" s="38"/>
      <c r="D112" s="38"/>
      <c r="E112" s="38">
        <v>1</v>
      </c>
      <c r="F112" s="38"/>
      <c r="G112" s="38"/>
      <c r="H112" s="38"/>
      <c r="I112" s="38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>
        <f t="shared" si="0"/>
        <v>1</v>
      </c>
      <c r="U112" s="42" cm="1">
        <f t="array" ref="U112">SUMPRODUCT(D112:R112,VLOOKUP($D$1:$R$1,$AG$8:$AH$22,2,FALSE))</f>
        <v>31500</v>
      </c>
      <c r="V112" s="4" t="s">
        <v>161</v>
      </c>
      <c r="W112" s="4" t="s">
        <v>169</v>
      </c>
    </row>
    <row r="113" spans="1:25" ht="15" customHeight="1" x14ac:dyDescent="0.3">
      <c r="A113" s="37">
        <v>45936</v>
      </c>
      <c r="B113" s="38">
        <v>99</v>
      </c>
      <c r="C113" s="38"/>
      <c r="D113" s="38">
        <v>1</v>
      </c>
      <c r="E113" s="38"/>
      <c r="F113" s="38"/>
      <c r="G113" s="38"/>
      <c r="H113" s="38"/>
      <c r="I113" s="38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>
        <f t="shared" si="0"/>
        <v>1</v>
      </c>
      <c r="U113" s="42" cm="1">
        <f t="array" ref="U113">SUMPRODUCT(D113:R113,VLOOKUP($D$1:$R$1,$AG$8:$AH$22,2,FALSE))</f>
        <v>25400</v>
      </c>
      <c r="V113" s="4" t="s">
        <v>161</v>
      </c>
      <c r="W113" s="4" t="s">
        <v>170</v>
      </c>
    </row>
    <row r="114" spans="1:25" ht="15" customHeight="1" x14ac:dyDescent="0.3">
      <c r="A114" s="37">
        <v>45936</v>
      </c>
      <c r="B114" s="38">
        <v>100</v>
      </c>
      <c r="C114" s="38"/>
      <c r="D114" s="38">
        <v>1</v>
      </c>
      <c r="E114" s="38"/>
      <c r="F114" s="38"/>
      <c r="G114" s="38"/>
      <c r="H114" s="38"/>
      <c r="I114" s="38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>
        <f t="shared" si="0"/>
        <v>1</v>
      </c>
      <c r="U114" s="42" cm="1">
        <f t="array" ref="U114">SUMPRODUCT(D114:R114,VLOOKUP($D$1:$R$1,$AG$8:$AH$22,2,FALSE))</f>
        <v>25400</v>
      </c>
      <c r="V114" s="4" t="s">
        <v>162</v>
      </c>
      <c r="W114" s="4" t="s">
        <v>170</v>
      </c>
    </row>
    <row r="115" spans="1:25" ht="15" customHeight="1" x14ac:dyDescent="0.3">
      <c r="A115" s="37">
        <v>45936</v>
      </c>
      <c r="B115" s="38">
        <v>101</v>
      </c>
      <c r="C115" s="38"/>
      <c r="D115" s="38"/>
      <c r="E115" s="38"/>
      <c r="F115" s="38"/>
      <c r="G115" s="38"/>
      <c r="H115" s="38">
        <v>2</v>
      </c>
      <c r="I115" s="38"/>
      <c r="J115" s="38"/>
      <c r="K115" s="38"/>
      <c r="L115" s="38"/>
      <c r="M115" s="38"/>
      <c r="N115" s="38">
        <v>1</v>
      </c>
      <c r="O115" s="38"/>
      <c r="P115" s="38"/>
      <c r="Q115" s="38"/>
      <c r="R115" s="38"/>
      <c r="S115" s="38"/>
      <c r="T115" s="38">
        <f t="shared" si="0"/>
        <v>3</v>
      </c>
      <c r="U115" s="42" cm="1">
        <f t="array" ref="U115">SUMPRODUCT(D115:R115,VLOOKUP($D$1:$R$1,$AG$8:$AH$22,2,FALSE))</f>
        <v>44000</v>
      </c>
      <c r="V115" s="4" t="s">
        <v>160</v>
      </c>
      <c r="W115" s="4" t="s">
        <v>170</v>
      </c>
      <c r="Y115" s="4" t="s">
        <v>171</v>
      </c>
    </row>
    <row r="116" spans="1:25" ht="15" customHeight="1" x14ac:dyDescent="0.3">
      <c r="A116" s="37">
        <v>45937</v>
      </c>
      <c r="B116" s="38">
        <v>102</v>
      </c>
      <c r="C116" s="38"/>
      <c r="D116" s="38"/>
      <c r="E116" s="38"/>
      <c r="F116" s="38"/>
      <c r="G116" s="38"/>
      <c r="H116" s="38">
        <v>1</v>
      </c>
      <c r="I116" s="38"/>
      <c r="J116" s="38"/>
      <c r="K116" s="38">
        <v>1</v>
      </c>
      <c r="L116" s="38"/>
      <c r="M116" s="38"/>
      <c r="N116" s="38"/>
      <c r="O116" s="38"/>
      <c r="P116" s="38"/>
      <c r="Q116" s="38"/>
      <c r="R116" s="38">
        <v>1</v>
      </c>
      <c r="S116" s="38"/>
      <c r="T116" s="38">
        <f t="shared" si="0"/>
        <v>3</v>
      </c>
      <c r="U116" s="42" cm="1">
        <f t="array" ref="U116">SUMPRODUCT(D116:R116,VLOOKUP($D$1:$R$1,$AG$8:$AH$22,2,FALSE))</f>
        <v>30000</v>
      </c>
      <c r="V116" s="4" t="s">
        <v>160</v>
      </c>
      <c r="W116" s="4" t="s">
        <v>169</v>
      </c>
    </row>
    <row r="117" spans="1:25" ht="15" customHeight="1" x14ac:dyDescent="0.3">
      <c r="A117" s="37">
        <v>45937</v>
      </c>
      <c r="B117" s="38">
        <v>103</v>
      </c>
      <c r="C117" s="38"/>
      <c r="D117" s="38"/>
      <c r="E117" s="38"/>
      <c r="F117" s="38"/>
      <c r="G117" s="38"/>
      <c r="H117" s="38"/>
      <c r="I117" s="38"/>
      <c r="J117" s="38"/>
      <c r="K117" s="38"/>
      <c r="L117" s="38">
        <v>2</v>
      </c>
      <c r="M117" s="38"/>
      <c r="N117" s="38"/>
      <c r="O117" s="38"/>
      <c r="P117" s="38"/>
      <c r="Q117" s="38"/>
      <c r="R117" s="38"/>
      <c r="S117" s="38"/>
      <c r="T117" s="38">
        <f t="shared" si="0"/>
        <v>2</v>
      </c>
      <c r="U117" s="42" cm="1">
        <f t="array" ref="U117">SUMPRODUCT(D117:R117,VLOOKUP($D$1:$R$1,$AG$8:$AH$22,2,FALSE))</f>
        <v>39800</v>
      </c>
      <c r="V117" s="4" t="s">
        <v>160</v>
      </c>
      <c r="W117" s="4" t="s">
        <v>170</v>
      </c>
    </row>
    <row r="118" spans="1:25" ht="15" customHeight="1" x14ac:dyDescent="0.3">
      <c r="A118" s="37">
        <v>45937</v>
      </c>
      <c r="B118" s="38">
        <v>104</v>
      </c>
      <c r="C118" s="38"/>
      <c r="D118" s="38"/>
      <c r="E118" s="38"/>
      <c r="F118" s="38"/>
      <c r="G118" s="38"/>
      <c r="H118" s="38"/>
      <c r="I118" s="38"/>
      <c r="J118" s="38"/>
      <c r="K118" s="38">
        <v>3</v>
      </c>
      <c r="L118" s="38"/>
      <c r="M118" s="38"/>
      <c r="N118" s="38"/>
      <c r="O118" s="38"/>
      <c r="P118" s="38"/>
      <c r="Q118" s="38"/>
      <c r="R118" s="38"/>
      <c r="S118" s="38"/>
      <c r="T118" s="38">
        <f t="shared" si="0"/>
        <v>3</v>
      </c>
      <c r="U118" s="42" cm="1">
        <f t="array" ref="U118">SUMPRODUCT(D118:R118,VLOOKUP($D$1:$R$1,$AG$8:$AH$22,2,FALSE))</f>
        <v>30000</v>
      </c>
      <c r="V118" s="4" t="s">
        <v>161</v>
      </c>
      <c r="W118" s="4" t="s">
        <v>170</v>
      </c>
    </row>
    <row r="119" spans="1:25" ht="15" customHeight="1" x14ac:dyDescent="0.3">
      <c r="A119" s="37">
        <v>45937</v>
      </c>
      <c r="B119" s="38">
        <v>105</v>
      </c>
      <c r="C119" s="38"/>
      <c r="D119" s="38"/>
      <c r="E119" s="38"/>
      <c r="F119" s="38"/>
      <c r="G119" s="38"/>
      <c r="H119" s="38">
        <v>2</v>
      </c>
      <c r="I119" s="38"/>
      <c r="J119" s="38"/>
      <c r="K119" s="38">
        <v>1</v>
      </c>
      <c r="L119" s="38"/>
      <c r="M119" s="38"/>
      <c r="N119" s="38"/>
      <c r="O119" s="38"/>
      <c r="P119" s="38"/>
      <c r="Q119" s="38"/>
      <c r="R119" s="38"/>
      <c r="S119" s="38"/>
      <c r="T119" s="38">
        <f t="shared" si="0"/>
        <v>3</v>
      </c>
      <c r="U119" s="42" cm="1">
        <f t="array" ref="U119">SUMPRODUCT(D119:R119,VLOOKUP($D$1:$R$1,$AG$8:$AH$22,2,FALSE))</f>
        <v>30000</v>
      </c>
      <c r="V119" s="4" t="s">
        <v>161</v>
      </c>
      <c r="W119" s="4" t="s">
        <v>170</v>
      </c>
    </row>
    <row r="120" spans="1:25" ht="15" customHeight="1" x14ac:dyDescent="0.3">
      <c r="A120" s="37">
        <v>45938</v>
      </c>
      <c r="B120" s="38">
        <v>106</v>
      </c>
      <c r="C120" s="38"/>
      <c r="D120" s="38"/>
      <c r="E120" s="38"/>
      <c r="F120" s="38"/>
      <c r="G120" s="38"/>
      <c r="H120" s="38">
        <v>1</v>
      </c>
      <c r="I120" s="38"/>
      <c r="J120" s="38"/>
      <c r="K120" s="38">
        <v>1</v>
      </c>
      <c r="L120" s="38"/>
      <c r="M120" s="38"/>
      <c r="N120" s="38"/>
      <c r="O120" s="38">
        <v>1</v>
      </c>
      <c r="P120" s="38"/>
      <c r="Q120" s="38"/>
      <c r="R120" s="38">
        <v>1</v>
      </c>
      <c r="S120" s="38"/>
      <c r="T120" s="38">
        <f t="shared" si="0"/>
        <v>4</v>
      </c>
      <c r="U120" s="42" cm="1">
        <f t="array" ref="U120">SUMPRODUCT(D120:R120,VLOOKUP($D$1:$R$1,$AG$8:$AH$22,2,FALSE))</f>
        <v>46000</v>
      </c>
      <c r="V120" s="4" t="s">
        <v>160</v>
      </c>
      <c r="W120" s="4" t="s">
        <v>172</v>
      </c>
    </row>
    <row r="121" spans="1:25" ht="15" customHeight="1" x14ac:dyDescent="0.3">
      <c r="A121" s="37">
        <v>45938</v>
      </c>
      <c r="B121" s="38">
        <v>107</v>
      </c>
      <c r="C121" s="38"/>
      <c r="D121" s="38"/>
      <c r="E121" s="38"/>
      <c r="F121" s="38"/>
      <c r="G121" s="38"/>
      <c r="H121" s="38"/>
      <c r="I121" s="38"/>
      <c r="J121" s="38"/>
      <c r="K121" s="38"/>
      <c r="L121" s="38"/>
      <c r="M121" s="38"/>
      <c r="N121" s="38">
        <v>1</v>
      </c>
      <c r="O121" s="38"/>
      <c r="P121" s="38"/>
      <c r="Q121" s="38"/>
      <c r="R121" s="38">
        <v>1</v>
      </c>
      <c r="S121" s="38"/>
      <c r="T121" s="38">
        <f t="shared" si="0"/>
        <v>2</v>
      </c>
      <c r="U121" s="42" cm="1">
        <f t="array" ref="U121">SUMPRODUCT(D121:R121,VLOOKUP($D$1:$R$1,$AG$8:$AH$22,2,FALSE))</f>
        <v>34000</v>
      </c>
      <c r="V121" s="4" t="s">
        <v>161</v>
      </c>
      <c r="W121" s="4" t="s">
        <v>170</v>
      </c>
    </row>
    <row r="122" spans="1:25" ht="15" customHeight="1" x14ac:dyDescent="0.3">
      <c r="A122" s="37">
        <v>45938</v>
      </c>
      <c r="B122" s="38">
        <v>108</v>
      </c>
      <c r="C122" s="38"/>
      <c r="D122" s="38"/>
      <c r="E122" s="38"/>
      <c r="F122" s="38"/>
      <c r="G122" s="38"/>
      <c r="H122" s="38"/>
      <c r="I122" s="38"/>
      <c r="J122" s="38"/>
      <c r="K122" s="38">
        <v>5</v>
      </c>
      <c r="L122" s="38"/>
      <c r="M122" s="38"/>
      <c r="N122" s="38"/>
      <c r="O122" s="38"/>
      <c r="P122" s="38"/>
      <c r="Q122" s="38"/>
      <c r="R122" s="38"/>
      <c r="S122" s="38"/>
      <c r="T122" s="38">
        <f t="shared" si="0"/>
        <v>5</v>
      </c>
      <c r="U122" s="42" cm="1">
        <f t="array" ref="U122">SUMPRODUCT(D122:R122,VLOOKUP($D$1:$R$1,$AG$8:$AH$22,2,FALSE))</f>
        <v>50000</v>
      </c>
      <c r="V122" s="4" t="s">
        <v>160</v>
      </c>
      <c r="W122" s="4" t="s">
        <v>170</v>
      </c>
    </row>
    <row r="123" spans="1:25" ht="15" customHeight="1" x14ac:dyDescent="0.3">
      <c r="A123" s="37">
        <v>45939</v>
      </c>
      <c r="B123" s="38">
        <v>109</v>
      </c>
      <c r="C123" s="38"/>
      <c r="D123" s="38"/>
      <c r="E123" s="38"/>
      <c r="F123" s="38"/>
      <c r="G123" s="38"/>
      <c r="H123" s="38"/>
      <c r="I123" s="38"/>
      <c r="J123" s="38"/>
      <c r="K123" s="38">
        <v>1</v>
      </c>
      <c r="L123" s="38"/>
      <c r="M123" s="38"/>
      <c r="N123" s="38">
        <v>2</v>
      </c>
      <c r="O123" s="38"/>
      <c r="P123" s="38"/>
      <c r="Q123" s="38"/>
      <c r="R123" s="38">
        <v>2</v>
      </c>
      <c r="S123" s="38"/>
      <c r="T123" s="38">
        <f t="shared" si="0"/>
        <v>5</v>
      </c>
      <c r="U123" s="42" cm="1">
        <f t="array" ref="U123">SUMPRODUCT(D123:R123,VLOOKUP($D$1:$R$1,$AG$8:$AH$22,2,FALSE))</f>
        <v>78000</v>
      </c>
      <c r="V123" s="4" t="s">
        <v>160</v>
      </c>
      <c r="W123" s="4" t="s">
        <v>173</v>
      </c>
    </row>
    <row r="124" spans="1:25" ht="15" customHeight="1" x14ac:dyDescent="0.3">
      <c r="A124" s="37">
        <v>45939</v>
      </c>
      <c r="B124" s="38">
        <v>110</v>
      </c>
      <c r="C124" s="38"/>
      <c r="D124" s="38"/>
      <c r="E124" s="38"/>
      <c r="F124" s="38"/>
      <c r="G124" s="38"/>
      <c r="H124" s="38"/>
      <c r="I124" s="38"/>
      <c r="J124" s="38"/>
      <c r="K124" s="38"/>
      <c r="L124" s="38">
        <v>2</v>
      </c>
      <c r="M124" s="38"/>
      <c r="N124" s="38"/>
      <c r="O124" s="38"/>
      <c r="P124" s="38"/>
      <c r="Q124" s="38"/>
      <c r="R124" s="38"/>
      <c r="S124" s="38"/>
      <c r="T124" s="38">
        <f t="shared" si="0"/>
        <v>2</v>
      </c>
      <c r="U124" s="42" cm="1">
        <f t="array" ref="U124">SUMPRODUCT(D124:R124,VLOOKUP($D$1:$R$1,$AG$8:$AH$22,2,FALSE))</f>
        <v>39800</v>
      </c>
      <c r="V124" s="4" t="s">
        <v>160</v>
      </c>
      <c r="W124" s="4" t="s">
        <v>170</v>
      </c>
    </row>
    <row r="125" spans="1:25" ht="15" customHeight="1" x14ac:dyDescent="0.3">
      <c r="A125" s="37">
        <v>45939</v>
      </c>
      <c r="B125" s="38">
        <v>111</v>
      </c>
      <c r="C125" s="38"/>
      <c r="D125" s="38"/>
      <c r="E125" s="38"/>
      <c r="F125" s="38"/>
      <c r="G125" s="38"/>
      <c r="H125" s="38">
        <v>3</v>
      </c>
      <c r="I125" s="38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>
        <f t="shared" si="0"/>
        <v>3</v>
      </c>
      <c r="U125" s="42" cm="1">
        <f t="array" ref="U125">SUMPRODUCT(D125:R125,VLOOKUP($D$1:$R$1,$AG$8:$AH$22,2,FALSE))</f>
        <v>30000</v>
      </c>
      <c r="V125" s="4" t="s">
        <v>160</v>
      </c>
      <c r="W125" s="4" t="s">
        <v>170</v>
      </c>
    </row>
    <row r="126" spans="1:25" ht="15" customHeight="1" x14ac:dyDescent="0.3">
      <c r="A126" s="37">
        <v>45939</v>
      </c>
      <c r="B126" s="38">
        <v>112</v>
      </c>
      <c r="C126" s="38"/>
      <c r="D126" s="38"/>
      <c r="E126" s="38">
        <v>1</v>
      </c>
      <c r="F126" s="38"/>
      <c r="G126" s="38"/>
      <c r="H126" s="38">
        <v>1</v>
      </c>
      <c r="I126" s="38"/>
      <c r="J126" s="38"/>
      <c r="K126" s="38">
        <v>1</v>
      </c>
      <c r="L126" s="38"/>
      <c r="M126" s="38"/>
      <c r="N126" s="38"/>
      <c r="O126" s="38"/>
      <c r="P126" s="38"/>
      <c r="Q126" s="38"/>
      <c r="R126" s="38"/>
      <c r="S126" s="38"/>
      <c r="T126" s="38">
        <f t="shared" si="0"/>
        <v>3</v>
      </c>
      <c r="U126" s="42" cm="1">
        <f t="array" ref="U126">SUMPRODUCT(D126:R126,VLOOKUP($D$1:$R$1,$AG$8:$AH$22,2,FALSE))</f>
        <v>51500</v>
      </c>
      <c r="V126" s="4" t="s">
        <v>162</v>
      </c>
      <c r="W126" s="4" t="s">
        <v>170</v>
      </c>
    </row>
    <row r="127" spans="1:25" ht="15" customHeight="1" x14ac:dyDescent="0.3">
      <c r="A127" s="37">
        <v>45940</v>
      </c>
      <c r="B127" s="38">
        <v>113</v>
      </c>
      <c r="C127" s="38"/>
      <c r="D127" s="38"/>
      <c r="E127" s="38">
        <v>1</v>
      </c>
      <c r="F127" s="38"/>
      <c r="G127" s="38"/>
      <c r="H127" s="38"/>
      <c r="I127" s="38"/>
      <c r="J127" s="38"/>
      <c r="K127" s="38">
        <v>1</v>
      </c>
      <c r="L127" s="38"/>
      <c r="M127" s="38"/>
      <c r="N127" s="38"/>
      <c r="O127" s="38"/>
      <c r="P127" s="38"/>
      <c r="Q127" s="38"/>
      <c r="R127" s="38"/>
      <c r="S127" s="38"/>
      <c r="T127" s="38">
        <f t="shared" si="0"/>
        <v>2</v>
      </c>
      <c r="U127" s="42" cm="1">
        <f t="array" ref="U127">SUMPRODUCT(D127:R127,VLOOKUP($D$1:$R$1,$AG$8:$AH$22,2,FALSE))</f>
        <v>41500</v>
      </c>
      <c r="V127" s="4" t="s">
        <v>160</v>
      </c>
      <c r="W127" s="4" t="s">
        <v>174</v>
      </c>
    </row>
    <row r="128" spans="1:25" ht="15" customHeight="1" x14ac:dyDescent="0.3">
      <c r="A128" s="37">
        <v>45940</v>
      </c>
      <c r="B128" s="38">
        <v>114</v>
      </c>
      <c r="C128" s="38"/>
      <c r="D128" s="38"/>
      <c r="E128" s="38"/>
      <c r="F128" s="38"/>
      <c r="G128" s="38"/>
      <c r="H128" s="38"/>
      <c r="I128" s="38"/>
      <c r="J128" s="38"/>
      <c r="K128" s="38">
        <v>0.5</v>
      </c>
      <c r="L128" s="38"/>
      <c r="M128" s="38"/>
      <c r="N128" s="38">
        <v>1</v>
      </c>
      <c r="O128" s="38"/>
      <c r="P128" s="38"/>
      <c r="Q128" s="38"/>
      <c r="R128" s="38"/>
      <c r="S128" s="38"/>
      <c r="T128" s="38">
        <f t="shared" si="0"/>
        <v>1.5</v>
      </c>
      <c r="U128" s="42" cm="1">
        <f t="array" ref="U128">SUMPRODUCT(D128:R128,VLOOKUP($D$1:$R$1,$AG$8:$AH$22,2,FALSE))</f>
        <v>29000</v>
      </c>
      <c r="V128" s="4" t="s">
        <v>160</v>
      </c>
      <c r="W128" s="4" t="s">
        <v>170</v>
      </c>
    </row>
    <row r="129" spans="1:24" ht="15" customHeight="1" x14ac:dyDescent="0.3">
      <c r="A129" s="37">
        <v>45942</v>
      </c>
      <c r="B129" s="38">
        <v>115</v>
      </c>
      <c r="C129" s="38"/>
      <c r="D129" s="38"/>
      <c r="E129" s="38"/>
      <c r="F129" s="38"/>
      <c r="G129" s="38"/>
      <c r="H129" s="38">
        <v>1</v>
      </c>
      <c r="I129" s="38"/>
      <c r="J129" s="38"/>
      <c r="K129" s="38">
        <v>1</v>
      </c>
      <c r="L129" s="38">
        <v>1</v>
      </c>
      <c r="M129" s="38"/>
      <c r="N129" s="38"/>
      <c r="O129" s="38"/>
      <c r="P129" s="38"/>
      <c r="Q129" s="38"/>
      <c r="R129" s="38"/>
      <c r="S129" s="38"/>
      <c r="T129" s="38">
        <f t="shared" si="0"/>
        <v>3</v>
      </c>
      <c r="U129" s="42" cm="1">
        <f t="array" ref="U129">SUMPRODUCT(D129:R129,VLOOKUP($D$1:$R$1,$AG$8:$AH$22,2,FALSE))</f>
        <v>39900</v>
      </c>
      <c r="V129" s="4" t="s">
        <v>163</v>
      </c>
      <c r="W129" s="4" t="s">
        <v>173</v>
      </c>
    </row>
    <row r="130" spans="1:24" ht="15" customHeight="1" x14ac:dyDescent="0.3">
      <c r="A130" s="37">
        <v>45942</v>
      </c>
      <c r="B130" s="38">
        <v>116</v>
      </c>
      <c r="C130" s="38"/>
      <c r="D130" s="38"/>
      <c r="E130" s="38">
        <v>1</v>
      </c>
      <c r="F130" s="38"/>
      <c r="G130" s="38"/>
      <c r="H130" s="38"/>
      <c r="I130" s="38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>
        <f t="shared" si="0"/>
        <v>1</v>
      </c>
      <c r="U130" s="42" cm="1">
        <f t="array" ref="U130">SUMPRODUCT(D130:R130,VLOOKUP($D$1:$R$1,$AG$8:$AH$22,2,FALSE))</f>
        <v>31500</v>
      </c>
      <c r="V130" s="4" t="s">
        <v>161</v>
      </c>
      <c r="W130" s="4" t="s">
        <v>170</v>
      </c>
    </row>
    <row r="131" spans="1:24" ht="15" customHeight="1" x14ac:dyDescent="0.3">
      <c r="A131" s="37">
        <v>45942</v>
      </c>
      <c r="B131" s="38">
        <v>117</v>
      </c>
      <c r="C131" s="38"/>
      <c r="D131" s="38"/>
      <c r="E131" s="38"/>
      <c r="F131" s="38"/>
      <c r="G131" s="38"/>
      <c r="H131" s="38">
        <v>1</v>
      </c>
      <c r="I131" s="38"/>
      <c r="J131" s="38"/>
      <c r="K131" s="38">
        <v>1.5</v>
      </c>
      <c r="L131" s="38"/>
      <c r="M131" s="38"/>
      <c r="N131" s="38"/>
      <c r="O131" s="38"/>
      <c r="P131" s="38"/>
      <c r="Q131" s="38"/>
      <c r="R131" s="38"/>
      <c r="S131" s="38"/>
      <c r="T131" s="38">
        <f t="shared" si="0"/>
        <v>2.5</v>
      </c>
      <c r="U131" s="42" cm="1">
        <f t="array" ref="U131">SUMPRODUCT(D131:R131,VLOOKUP($D$1:$R$1,$AG$8:$AH$22,2,FALSE))</f>
        <v>25000</v>
      </c>
      <c r="V131" s="4" t="s">
        <v>162</v>
      </c>
      <c r="W131" s="4" t="s">
        <v>175</v>
      </c>
    </row>
    <row r="132" spans="1:24" ht="15" customHeight="1" x14ac:dyDescent="0.3">
      <c r="A132" s="12">
        <v>45944</v>
      </c>
      <c r="B132" s="38">
        <v>118</v>
      </c>
      <c r="C132" s="38"/>
      <c r="D132" s="38"/>
      <c r="E132" s="38"/>
      <c r="F132" s="38"/>
      <c r="G132" s="38"/>
      <c r="H132" s="38">
        <v>1</v>
      </c>
      <c r="I132" s="38"/>
      <c r="J132" s="38"/>
      <c r="K132" s="38">
        <v>1</v>
      </c>
      <c r="L132" s="38"/>
      <c r="M132" s="38"/>
      <c r="N132" s="38">
        <v>1</v>
      </c>
      <c r="O132" s="38">
        <v>1</v>
      </c>
      <c r="P132" s="38"/>
      <c r="Q132" s="38"/>
      <c r="R132" s="38">
        <v>1</v>
      </c>
      <c r="S132" s="38"/>
      <c r="T132" s="38">
        <f t="shared" si="0"/>
        <v>5</v>
      </c>
      <c r="U132" s="42" cm="1">
        <f t="array" ref="U132">SUMPRODUCT(D132:R132,VLOOKUP($D$1:$R$1,$AG$8:$AH$22,2,FALSE))</f>
        <v>70000</v>
      </c>
      <c r="V132" s="4" t="s">
        <v>162</v>
      </c>
      <c r="W132" s="4" t="s">
        <v>169</v>
      </c>
      <c r="X132" s="4" t="s">
        <v>176</v>
      </c>
    </row>
    <row r="133" spans="1:24" ht="15" customHeight="1" x14ac:dyDescent="0.3">
      <c r="A133" s="12">
        <v>45944</v>
      </c>
      <c r="B133" s="38">
        <v>119</v>
      </c>
      <c r="C133" s="38"/>
      <c r="D133" s="38"/>
      <c r="E133" s="38"/>
      <c r="F133" s="38"/>
      <c r="G133" s="38"/>
      <c r="H133" s="38"/>
      <c r="I133" s="38"/>
      <c r="J133" s="38"/>
      <c r="K133" s="38">
        <v>1</v>
      </c>
      <c r="L133" s="38"/>
      <c r="M133" s="38"/>
      <c r="N133" s="38"/>
      <c r="O133" s="38"/>
      <c r="P133" s="38"/>
      <c r="Q133" s="38"/>
      <c r="R133" s="38">
        <v>2</v>
      </c>
      <c r="S133" s="38"/>
      <c r="T133" s="38">
        <f t="shared" si="0"/>
        <v>3</v>
      </c>
      <c r="U133" s="42" cm="1">
        <f t="array" ref="U133">SUMPRODUCT(D133:R133,VLOOKUP($D$1:$R$1,$AG$8:$AH$22,2,FALSE))</f>
        <v>30000</v>
      </c>
      <c r="V133" s="4" t="s">
        <v>161</v>
      </c>
      <c r="W133" s="4" t="s">
        <v>170</v>
      </c>
    </row>
    <row r="134" spans="1:24" ht="15" customHeight="1" x14ac:dyDescent="0.3">
      <c r="A134" s="37">
        <v>45945</v>
      </c>
      <c r="B134" s="38">
        <v>120</v>
      </c>
      <c r="C134" s="38"/>
      <c r="D134" s="38"/>
      <c r="E134" s="38"/>
      <c r="F134" s="38">
        <v>1</v>
      </c>
      <c r="G134" s="38"/>
      <c r="H134" s="38"/>
      <c r="I134" s="38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>
        <f t="shared" si="0"/>
        <v>1</v>
      </c>
      <c r="U134" s="42" cm="1">
        <f t="array" ref="U134">SUMPRODUCT(D134:R134,VLOOKUP($D$1:$R$1,$AG$8:$AH$22,2,FALSE))</f>
        <v>81200</v>
      </c>
      <c r="V134" s="4" t="s">
        <v>160</v>
      </c>
    </row>
    <row r="135" spans="1:24" ht="15" customHeight="1" x14ac:dyDescent="0.3">
      <c r="A135" s="37">
        <v>45945</v>
      </c>
      <c r="B135" s="38">
        <v>121</v>
      </c>
      <c r="C135" s="38"/>
      <c r="D135" s="38"/>
      <c r="E135" s="38">
        <v>1</v>
      </c>
      <c r="F135" s="38"/>
      <c r="G135" s="38"/>
      <c r="H135" s="38"/>
      <c r="I135" s="38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>
        <f t="shared" si="0"/>
        <v>1</v>
      </c>
      <c r="U135" s="42" cm="1">
        <f t="array" ref="U135">SUMPRODUCT(D135:R135,VLOOKUP($D$1:$R$1,$AG$8:$AH$22,2,FALSE))</f>
        <v>31500</v>
      </c>
      <c r="V135" s="4" t="s">
        <v>162</v>
      </c>
    </row>
    <row r="136" spans="1:24" ht="15" customHeight="1" x14ac:dyDescent="0.3">
      <c r="A136" s="37">
        <v>45946</v>
      </c>
      <c r="B136" s="38">
        <v>122</v>
      </c>
      <c r="C136" s="38"/>
      <c r="D136" s="38"/>
      <c r="E136" s="38">
        <v>3</v>
      </c>
      <c r="F136" s="38"/>
      <c r="G136" s="38"/>
      <c r="H136" s="38"/>
      <c r="I136" s="38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>
        <f t="shared" si="0"/>
        <v>3</v>
      </c>
      <c r="U136" s="42" cm="1">
        <f t="array" ref="U136">SUMPRODUCT(D136:R136,VLOOKUP($D$1:$R$1,$AG$8:$AH$22,2,FALSE))</f>
        <v>94500</v>
      </c>
      <c r="V136" s="4" t="s">
        <v>163</v>
      </c>
      <c r="W136" s="4" t="s">
        <v>169</v>
      </c>
      <c r="X136" s="4" t="s">
        <v>177</v>
      </c>
    </row>
    <row r="137" spans="1:24" ht="15" customHeight="1" x14ac:dyDescent="0.3">
      <c r="A137" s="37">
        <v>45946</v>
      </c>
      <c r="B137" s="38">
        <v>123</v>
      </c>
      <c r="C137" s="38"/>
      <c r="D137" s="38"/>
      <c r="E137" s="38"/>
      <c r="F137" s="38"/>
      <c r="G137" s="38"/>
      <c r="H137" s="38"/>
      <c r="I137" s="38"/>
      <c r="J137" s="38"/>
      <c r="K137" s="38"/>
      <c r="L137" s="38"/>
      <c r="M137" s="38"/>
      <c r="N137" s="38">
        <v>1</v>
      </c>
      <c r="O137" s="38">
        <v>1</v>
      </c>
      <c r="P137" s="38"/>
      <c r="Q137" s="38"/>
      <c r="R137" s="38">
        <v>1</v>
      </c>
      <c r="S137" s="38">
        <v>1</v>
      </c>
      <c r="T137" s="38">
        <f t="shared" si="0"/>
        <v>4</v>
      </c>
      <c r="U137" s="42" cm="1">
        <f t="array" ref="U137">SUMPRODUCT(D137:S137,VLOOKUP($D$1:$S$1,$AG$8:$AH$23,2,FALSE))</f>
        <v>64000</v>
      </c>
      <c r="V137" s="4" t="s">
        <v>161</v>
      </c>
      <c r="W137" s="4" t="s">
        <v>170</v>
      </c>
      <c r="X137" s="4"/>
    </row>
    <row r="138" spans="1:24" ht="15" customHeight="1" x14ac:dyDescent="0.3">
      <c r="A138" s="37">
        <v>45946</v>
      </c>
      <c r="B138" s="38">
        <v>124</v>
      </c>
      <c r="C138" s="38"/>
      <c r="D138" s="38"/>
      <c r="E138" s="38"/>
      <c r="F138" s="38"/>
      <c r="G138" s="38"/>
      <c r="H138" s="38">
        <v>2</v>
      </c>
      <c r="I138" s="38"/>
      <c r="J138" s="38"/>
      <c r="K138" s="38"/>
      <c r="L138" s="38"/>
      <c r="M138" s="38"/>
      <c r="N138" s="38"/>
      <c r="O138" s="38"/>
      <c r="P138" s="38"/>
      <c r="Q138" s="38"/>
      <c r="R138" s="38">
        <v>3</v>
      </c>
      <c r="S138" s="38"/>
      <c r="T138" s="38">
        <f t="shared" si="0"/>
        <v>5</v>
      </c>
      <c r="U138" s="42" cm="1">
        <f t="array" ref="U138">SUMPRODUCT(D138:S138,VLOOKUP($D$1:$S$1,$AG$8:$AH$23,2,FALSE))</f>
        <v>50000</v>
      </c>
      <c r="V138" s="4" t="s">
        <v>162</v>
      </c>
      <c r="W138" s="4" t="s">
        <v>175</v>
      </c>
    </row>
    <row r="139" spans="1:24" ht="15" customHeight="1" x14ac:dyDescent="0.3">
      <c r="A139" s="37">
        <v>45953</v>
      </c>
      <c r="B139" s="38">
        <v>125</v>
      </c>
      <c r="C139" s="38"/>
      <c r="D139" s="38"/>
      <c r="E139" s="38"/>
      <c r="F139" s="38"/>
      <c r="G139" s="38">
        <v>1</v>
      </c>
      <c r="H139" s="38"/>
      <c r="I139" s="38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>
        <f t="shared" si="0"/>
        <v>1</v>
      </c>
      <c r="U139" s="42" cm="1">
        <f t="array" ref="U139">SUMPRODUCT(D139:S139,VLOOKUP($D$1:$S$1,$AG$8:$AH$23,2,FALSE))</f>
        <v>33900</v>
      </c>
      <c r="V139" s="4" t="s">
        <v>163</v>
      </c>
      <c r="W139" s="4" t="s">
        <v>169</v>
      </c>
    </row>
    <row r="140" spans="1:24" ht="15" customHeight="1" x14ac:dyDescent="0.3">
      <c r="A140" s="37">
        <v>45953</v>
      </c>
      <c r="B140" s="38">
        <v>126</v>
      </c>
      <c r="C140" s="38"/>
      <c r="D140" s="38"/>
      <c r="E140" s="38"/>
      <c r="F140" s="38"/>
      <c r="G140" s="38"/>
      <c r="H140" s="38"/>
      <c r="I140" s="38"/>
      <c r="J140" s="38"/>
      <c r="K140" s="38">
        <v>1</v>
      </c>
      <c r="L140" s="38"/>
      <c r="M140" s="38"/>
      <c r="N140" s="38">
        <v>1</v>
      </c>
      <c r="O140" s="38"/>
      <c r="P140" s="38"/>
      <c r="Q140" s="38"/>
      <c r="R140" s="38"/>
      <c r="S140" s="38">
        <v>1</v>
      </c>
      <c r="T140" s="38">
        <f t="shared" si="0"/>
        <v>3</v>
      </c>
      <c r="U140" s="42" cm="1">
        <f t="array" ref="U140">SUMPRODUCT(D140:S140,VLOOKUP($D$1:$S$1,$AG$8:$AH$23,2,FALSE))</f>
        <v>48000</v>
      </c>
      <c r="V140" s="4" t="s">
        <v>163</v>
      </c>
      <c r="W140" s="4" t="s">
        <v>170</v>
      </c>
    </row>
    <row r="141" spans="1:24" ht="15" customHeight="1" x14ac:dyDescent="0.3">
      <c r="A141" s="37">
        <v>45958</v>
      </c>
      <c r="B141" s="38">
        <v>127</v>
      </c>
      <c r="C141" s="38"/>
      <c r="D141" s="38"/>
      <c r="E141" s="38"/>
      <c r="F141" s="38"/>
      <c r="G141" s="38"/>
      <c r="H141" s="38"/>
      <c r="I141" s="38"/>
      <c r="J141" s="38"/>
      <c r="K141" s="38"/>
      <c r="L141" s="38"/>
      <c r="M141" s="38"/>
      <c r="N141" s="38"/>
      <c r="O141" s="38"/>
      <c r="P141" s="38"/>
      <c r="Q141" s="38"/>
      <c r="R141" s="38"/>
      <c r="S141" s="38">
        <v>2</v>
      </c>
      <c r="T141" s="38">
        <f t="shared" si="0"/>
        <v>2</v>
      </c>
      <c r="U141" s="42" cm="1">
        <f t="array" ref="U141">SUMPRODUCT(D141:S141,VLOOKUP($D$1:$S$1,$AG$8:$AH$23,2,FALSE))</f>
        <v>28000</v>
      </c>
      <c r="V141" s="4" t="s">
        <v>161</v>
      </c>
      <c r="W141" s="4" t="s">
        <v>169</v>
      </c>
    </row>
    <row r="142" spans="1:24" ht="15" customHeight="1" x14ac:dyDescent="0.3">
      <c r="A142" s="37">
        <v>45958</v>
      </c>
      <c r="B142" s="38">
        <v>128</v>
      </c>
      <c r="C142" s="38"/>
      <c r="D142" s="38"/>
      <c r="E142" s="38"/>
      <c r="F142" s="38"/>
      <c r="G142" s="38"/>
      <c r="H142" s="38"/>
      <c r="I142" s="38"/>
      <c r="J142" s="38"/>
      <c r="K142" s="38">
        <v>0.5</v>
      </c>
      <c r="L142" s="38"/>
      <c r="M142" s="38"/>
      <c r="N142" s="38">
        <v>1</v>
      </c>
      <c r="O142" s="38">
        <v>1</v>
      </c>
      <c r="P142" s="38"/>
      <c r="Q142" s="38"/>
      <c r="R142" s="38"/>
      <c r="S142" s="38"/>
      <c r="T142" s="38">
        <f t="shared" si="0"/>
        <v>2.5</v>
      </c>
      <c r="U142" s="42" cm="1">
        <f t="array" ref="U142">SUMPRODUCT(D142:S142,VLOOKUP($D$1:$S$1,$AG$8:$AH$23,2,FALSE))</f>
        <v>45000</v>
      </c>
      <c r="V142" s="4" t="s">
        <v>162</v>
      </c>
      <c r="W142" s="4" t="s">
        <v>170</v>
      </c>
    </row>
    <row r="143" spans="1:24" ht="15" customHeight="1" x14ac:dyDescent="0.3">
      <c r="A143" s="37">
        <v>45958</v>
      </c>
      <c r="B143" s="38">
        <v>129</v>
      </c>
      <c r="C143" s="38"/>
      <c r="D143" s="38"/>
      <c r="E143" s="38"/>
      <c r="F143" s="38"/>
      <c r="G143" s="38">
        <v>1</v>
      </c>
      <c r="H143" s="38"/>
      <c r="I143" s="38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>
        <f t="shared" si="0"/>
        <v>1</v>
      </c>
      <c r="U143" s="42" cm="1">
        <f t="array" ref="U143">SUMPRODUCT(D143:S143,VLOOKUP($D$1:$S$1,$AG$8:$AH$23,2,FALSE))</f>
        <v>33900</v>
      </c>
      <c r="V143" s="4" t="s">
        <v>161</v>
      </c>
      <c r="W143" s="4" t="s">
        <v>170</v>
      </c>
    </row>
    <row r="144" spans="1:24" ht="15" customHeight="1" x14ac:dyDescent="0.3">
      <c r="A144" s="37">
        <v>45958</v>
      </c>
      <c r="B144" s="38">
        <v>130</v>
      </c>
      <c r="C144" s="38"/>
      <c r="D144" s="38"/>
      <c r="E144" s="38">
        <v>1</v>
      </c>
      <c r="F144" s="38"/>
      <c r="G144" s="38"/>
      <c r="H144" s="38"/>
      <c r="I144" s="38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>
        <f t="shared" si="0"/>
        <v>1</v>
      </c>
      <c r="U144" s="42" cm="1">
        <f t="array" ref="U144">SUMPRODUCT(D144:S144,VLOOKUP($D$1:$S$1,$AG$8:$AH$23,2,FALSE))</f>
        <v>31500</v>
      </c>
      <c r="V144" s="4" t="s">
        <v>162</v>
      </c>
      <c r="W144" s="4" t="s">
        <v>170</v>
      </c>
    </row>
    <row r="145" spans="1:24" ht="15" customHeight="1" x14ac:dyDescent="0.3">
      <c r="A145" s="37">
        <v>45959</v>
      </c>
      <c r="B145" s="38">
        <v>131</v>
      </c>
      <c r="C145" s="38"/>
      <c r="D145" s="38">
        <v>1</v>
      </c>
      <c r="E145" s="38"/>
      <c r="F145" s="38"/>
      <c r="G145" s="38"/>
      <c r="H145" s="38"/>
      <c r="I145" s="38"/>
      <c r="J145" s="38"/>
      <c r="K145" s="38"/>
      <c r="L145" s="38"/>
      <c r="M145" s="38"/>
      <c r="N145" s="38"/>
      <c r="O145" s="38"/>
      <c r="P145" s="38"/>
      <c r="Q145" s="38"/>
      <c r="R145" s="38"/>
      <c r="S145" s="38">
        <v>0.5</v>
      </c>
      <c r="T145" s="38">
        <f t="shared" si="0"/>
        <v>1.5</v>
      </c>
      <c r="U145" s="42">
        <v>24000</v>
      </c>
      <c r="V145" s="4" t="s">
        <v>160</v>
      </c>
      <c r="W145" s="4" t="s">
        <v>174</v>
      </c>
      <c r="X145" s="4" t="s">
        <v>178</v>
      </c>
    </row>
    <row r="146" spans="1:24" ht="15" customHeight="1" x14ac:dyDescent="0.3">
      <c r="A146" s="37">
        <v>45960</v>
      </c>
      <c r="B146" s="38">
        <v>132</v>
      </c>
      <c r="C146" s="38"/>
      <c r="D146" s="38"/>
      <c r="E146" s="38"/>
      <c r="F146" s="38"/>
      <c r="G146" s="38"/>
      <c r="H146" s="38"/>
      <c r="I146" s="38"/>
      <c r="J146" s="38"/>
      <c r="K146" s="38"/>
      <c r="L146" s="38">
        <v>1</v>
      </c>
      <c r="M146" s="38"/>
      <c r="N146" s="38"/>
      <c r="O146" s="38"/>
      <c r="P146" s="38"/>
      <c r="Q146" s="38"/>
      <c r="R146" s="38"/>
      <c r="S146" s="38"/>
      <c r="T146" s="38">
        <f t="shared" si="0"/>
        <v>1</v>
      </c>
      <c r="U146" s="42">
        <v>0</v>
      </c>
      <c r="V146" s="42" t="s">
        <v>179</v>
      </c>
      <c r="W146" s="4" t="s">
        <v>174</v>
      </c>
      <c r="X146" s="4" t="s">
        <v>180</v>
      </c>
    </row>
    <row r="147" spans="1:24" ht="15" customHeight="1" x14ac:dyDescent="0.3">
      <c r="A147" s="37">
        <v>45961</v>
      </c>
      <c r="B147" s="38">
        <v>133</v>
      </c>
      <c r="C147" s="38"/>
      <c r="D147" s="38"/>
      <c r="E147" s="38"/>
      <c r="F147" s="38"/>
      <c r="G147" s="38"/>
      <c r="H147" s="38">
        <v>1</v>
      </c>
      <c r="I147" s="38"/>
      <c r="J147" s="38"/>
      <c r="K147" s="38">
        <v>1</v>
      </c>
      <c r="L147" s="38"/>
      <c r="M147" s="38"/>
      <c r="N147" s="38"/>
      <c r="O147" s="38"/>
      <c r="P147" s="38"/>
      <c r="Q147" s="38"/>
      <c r="R147" s="38">
        <v>1</v>
      </c>
      <c r="S147" s="38"/>
      <c r="T147" s="38">
        <f t="shared" si="0"/>
        <v>3</v>
      </c>
      <c r="U147" s="42" cm="1">
        <f t="array" ref="U147">SUMPRODUCT(D147:S147,VLOOKUP($D$1:$S$1,$AG$8:$AH$23,2,FALSE))</f>
        <v>30000</v>
      </c>
      <c r="V147" s="4" t="s">
        <v>163</v>
      </c>
      <c r="W147" s="4" t="s">
        <v>172</v>
      </c>
    </row>
    <row r="148" spans="1:24" ht="15" customHeight="1" x14ac:dyDescent="0.3">
      <c r="A148" s="37">
        <v>45964</v>
      </c>
      <c r="B148" s="38">
        <v>134</v>
      </c>
      <c r="C148" s="38"/>
      <c r="D148" s="38"/>
      <c r="E148" s="38"/>
      <c r="F148" s="38"/>
      <c r="G148" s="38"/>
      <c r="H148" s="38">
        <v>1</v>
      </c>
      <c r="I148" s="38"/>
      <c r="J148" s="38"/>
      <c r="K148" s="38"/>
      <c r="L148" s="38"/>
      <c r="M148" s="38"/>
      <c r="N148" s="38"/>
      <c r="O148" s="38">
        <v>1</v>
      </c>
      <c r="P148" s="38"/>
      <c r="Q148" s="38"/>
      <c r="R148" s="38"/>
      <c r="S148" s="38"/>
      <c r="T148" s="38">
        <f t="shared" si="0"/>
        <v>2</v>
      </c>
      <c r="U148" s="42" cm="1">
        <f t="array" ref="U148">SUMPRODUCT(D148:S148,VLOOKUP($D$1:$S$1,$AG$8:$AH$23,2,FALSE))</f>
        <v>26000</v>
      </c>
      <c r="V148" s="4" t="s">
        <v>163</v>
      </c>
      <c r="W148" s="4" t="s">
        <v>169</v>
      </c>
    </row>
    <row r="149" spans="1:24" ht="15" customHeight="1" x14ac:dyDescent="0.3">
      <c r="A149" s="37">
        <v>45964</v>
      </c>
      <c r="B149" s="38">
        <v>135</v>
      </c>
      <c r="C149" s="38"/>
      <c r="D149" s="38"/>
      <c r="E149" s="38"/>
      <c r="F149" s="38"/>
      <c r="G149" s="38"/>
      <c r="H149" s="38"/>
      <c r="I149" s="38"/>
      <c r="J149" s="38"/>
      <c r="K149" s="38">
        <v>2.5</v>
      </c>
      <c r="L149" s="38"/>
      <c r="M149" s="38"/>
      <c r="N149" s="38"/>
      <c r="O149" s="38"/>
      <c r="P149" s="38"/>
      <c r="Q149" s="38"/>
      <c r="R149" s="38"/>
      <c r="S149" s="38"/>
      <c r="T149" s="38">
        <f t="shared" si="0"/>
        <v>2.5</v>
      </c>
      <c r="U149" s="42" cm="1">
        <f t="array" ref="U149">SUMPRODUCT(D149:S149,VLOOKUP($D$1:$S$1,$AG$8:$AH$23,2,FALSE))</f>
        <v>25000</v>
      </c>
      <c r="V149" s="4" t="s">
        <v>163</v>
      </c>
      <c r="W149" s="4" t="s">
        <v>170</v>
      </c>
    </row>
    <row r="150" spans="1:24" ht="15" customHeight="1" x14ac:dyDescent="0.3">
      <c r="A150" s="37">
        <v>45964</v>
      </c>
      <c r="B150" s="38">
        <v>136</v>
      </c>
      <c r="C150" s="38"/>
      <c r="D150" s="38"/>
      <c r="E150" s="38"/>
      <c r="F150" s="38"/>
      <c r="G150" s="38"/>
      <c r="H150" s="38">
        <v>1</v>
      </c>
      <c r="I150" s="38"/>
      <c r="J150" s="38"/>
      <c r="K150" s="38">
        <v>1</v>
      </c>
      <c r="L150" s="38"/>
      <c r="M150" s="38"/>
      <c r="N150" s="38"/>
      <c r="O150" s="38"/>
      <c r="P150" s="38"/>
      <c r="Q150" s="38"/>
      <c r="R150" s="38"/>
      <c r="S150" s="38">
        <v>1</v>
      </c>
      <c r="T150" s="38">
        <f t="shared" si="0"/>
        <v>3</v>
      </c>
      <c r="U150" s="42" cm="1">
        <f t="array" ref="U150">SUMPRODUCT(D150:S150,VLOOKUP($D$1:$S$1,$AG$8:$AH$23,2,FALSE))</f>
        <v>34000</v>
      </c>
      <c r="V150" s="4" t="s">
        <v>162</v>
      </c>
      <c r="W150" s="4" t="s">
        <v>170</v>
      </c>
    </row>
    <row r="151" spans="1:24" ht="15" customHeight="1" x14ac:dyDescent="0.3">
      <c r="A151" s="37">
        <v>45964</v>
      </c>
      <c r="B151" s="38">
        <v>137</v>
      </c>
      <c r="C151" s="38"/>
      <c r="D151" s="38"/>
      <c r="E151" s="38"/>
      <c r="F151" s="38"/>
      <c r="G151" s="38"/>
      <c r="H151" s="38"/>
      <c r="I151" s="38"/>
      <c r="J151" s="38"/>
      <c r="K151" s="38"/>
      <c r="L151" s="38"/>
      <c r="M151" s="38"/>
      <c r="N151" s="38"/>
      <c r="O151" s="38">
        <v>1</v>
      </c>
      <c r="P151" s="38"/>
      <c r="Q151" s="38"/>
      <c r="R151" s="38"/>
      <c r="S151" s="38">
        <v>1</v>
      </c>
      <c r="T151" s="38">
        <f t="shared" si="0"/>
        <v>2</v>
      </c>
      <c r="U151" s="42" cm="1">
        <f t="array" ref="U151">SUMPRODUCT(D151:S151,VLOOKUP($D$1:$S$1,$AG$8:$AH$23,2,FALSE))</f>
        <v>30000</v>
      </c>
      <c r="V151" s="4" t="s">
        <v>163</v>
      </c>
      <c r="W151" s="4" t="s">
        <v>170</v>
      </c>
    </row>
    <row r="152" spans="1:24" ht="15" customHeight="1" x14ac:dyDescent="0.3">
      <c r="A152" s="37">
        <v>45965</v>
      </c>
      <c r="B152" s="38">
        <v>138</v>
      </c>
      <c r="C152" s="38"/>
      <c r="D152" s="38"/>
      <c r="E152" s="38"/>
      <c r="F152" s="38">
        <v>1</v>
      </c>
      <c r="G152" s="38"/>
      <c r="H152" s="38">
        <v>1</v>
      </c>
      <c r="I152" s="38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>
        <f t="shared" si="0"/>
        <v>2</v>
      </c>
      <c r="U152" s="42" cm="1">
        <f t="array" ref="U152">SUMPRODUCT(D152:S152,VLOOKUP($D$1:$S$1,$AG$8:$AH$23,2,FALSE))</f>
        <v>91200</v>
      </c>
      <c r="V152" s="4" t="s">
        <v>162</v>
      </c>
      <c r="W152" s="4" t="s">
        <v>169</v>
      </c>
    </row>
    <row r="153" spans="1:24" ht="15" customHeight="1" x14ac:dyDescent="0.3">
      <c r="A153" s="37">
        <v>45965</v>
      </c>
      <c r="B153" s="38">
        <v>139</v>
      </c>
      <c r="C153" s="38"/>
      <c r="D153" s="38"/>
      <c r="E153" s="38"/>
      <c r="F153" s="38"/>
      <c r="G153" s="38"/>
      <c r="H153" s="38"/>
      <c r="I153" s="38"/>
      <c r="J153" s="38"/>
      <c r="K153" s="38"/>
      <c r="L153" s="38">
        <v>2</v>
      </c>
      <c r="M153" s="38"/>
      <c r="N153" s="38"/>
      <c r="O153" s="38"/>
      <c r="P153" s="38"/>
      <c r="Q153" s="38"/>
      <c r="R153" s="38"/>
      <c r="S153" s="38"/>
      <c r="T153" s="38">
        <f t="shared" si="0"/>
        <v>2</v>
      </c>
      <c r="U153" s="42" cm="1">
        <f t="array" ref="U153">SUMPRODUCT(D153:S153,VLOOKUP($D$1:$S$1,$AG$8:$AH$23,2,FALSE))</f>
        <v>39800</v>
      </c>
      <c r="V153" s="4" t="s">
        <v>163</v>
      </c>
      <c r="W153" s="4" t="s">
        <v>170</v>
      </c>
    </row>
    <row r="154" spans="1:24" ht="15" customHeight="1" x14ac:dyDescent="0.3">
      <c r="A154" s="37">
        <v>45965</v>
      </c>
      <c r="B154" s="38">
        <v>140</v>
      </c>
      <c r="C154" s="38"/>
      <c r="D154" s="38"/>
      <c r="E154" s="38"/>
      <c r="F154" s="38"/>
      <c r="G154" s="38"/>
      <c r="H154" s="38"/>
      <c r="I154" s="38"/>
      <c r="J154" s="38"/>
      <c r="K154" s="38">
        <v>0.1</v>
      </c>
      <c r="L154" s="38"/>
      <c r="M154" s="38"/>
      <c r="N154" s="38"/>
      <c r="O154" s="38"/>
      <c r="P154" s="38"/>
      <c r="Q154" s="38"/>
      <c r="R154" s="38"/>
      <c r="S154" s="38"/>
      <c r="T154" s="38">
        <f t="shared" si="0"/>
        <v>0.1</v>
      </c>
      <c r="U154" s="42" cm="1">
        <f t="array" ref="U154">SUMPRODUCT(D154:S154,VLOOKUP($D$1:$S$1,$AG$8:$AH$23,2,FALSE))</f>
        <v>1000</v>
      </c>
      <c r="V154" s="4" t="s">
        <v>162</v>
      </c>
      <c r="W154" s="4" t="s">
        <v>170</v>
      </c>
    </row>
    <row r="155" spans="1:24" ht="15" customHeight="1" x14ac:dyDescent="0.3">
      <c r="A155" s="37">
        <v>45966</v>
      </c>
      <c r="B155" s="38">
        <v>141</v>
      </c>
      <c r="C155" s="38"/>
      <c r="D155" s="38">
        <v>1</v>
      </c>
      <c r="E155" s="38"/>
      <c r="F155" s="38"/>
      <c r="G155" s="38"/>
      <c r="H155" s="38">
        <v>0.5</v>
      </c>
      <c r="I155" s="38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>
        <f t="shared" si="0"/>
        <v>1.5</v>
      </c>
      <c r="U155" s="42" cm="1">
        <f t="array" ref="U155">SUMPRODUCT(D155:S155,VLOOKUP($D$1:$S$1,$AG$8:$AH$23,2,FALSE))</f>
        <v>30400</v>
      </c>
      <c r="V155" s="4" t="s">
        <v>160</v>
      </c>
      <c r="W155" s="4" t="s">
        <v>169</v>
      </c>
    </row>
    <row r="156" spans="1:24" ht="15" customHeight="1" x14ac:dyDescent="0.3">
      <c r="A156" s="37">
        <v>45966</v>
      </c>
      <c r="B156" s="38">
        <v>142</v>
      </c>
      <c r="C156" s="38"/>
      <c r="D156" s="38"/>
      <c r="E156" s="38"/>
      <c r="F156" s="38">
        <v>1</v>
      </c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>
        <f t="shared" si="0"/>
        <v>1</v>
      </c>
      <c r="U156" s="42" cm="1">
        <f t="array" ref="U156">SUMPRODUCT(D156:S156,VLOOKUP($D$1:$S$1,$AG$8:$AH$23,2,FALSE))</f>
        <v>81200</v>
      </c>
      <c r="V156" s="4" t="s">
        <v>162</v>
      </c>
      <c r="W156" s="4" t="s">
        <v>170</v>
      </c>
    </row>
    <row r="157" spans="1:24" ht="15" customHeight="1" x14ac:dyDescent="0.3">
      <c r="A157" s="37">
        <v>45966</v>
      </c>
      <c r="B157" s="38">
        <v>143</v>
      </c>
      <c r="C157" s="38"/>
      <c r="D157" s="38"/>
      <c r="E157" s="38"/>
      <c r="F157" s="38"/>
      <c r="G157" s="38"/>
      <c r="H157" s="38">
        <v>3</v>
      </c>
      <c r="I157" s="38"/>
      <c r="J157" s="38"/>
      <c r="K157" s="38">
        <v>2</v>
      </c>
      <c r="L157" s="38">
        <v>1</v>
      </c>
      <c r="M157" s="38"/>
      <c r="N157" s="38">
        <v>1</v>
      </c>
      <c r="O157" s="38"/>
      <c r="P157" s="38"/>
      <c r="Q157" s="38"/>
      <c r="R157" s="38"/>
      <c r="S157" s="38"/>
      <c r="T157" s="38">
        <f t="shared" si="0"/>
        <v>7</v>
      </c>
      <c r="U157" s="42">
        <v>101400</v>
      </c>
      <c r="V157" s="4" t="s">
        <v>162</v>
      </c>
      <c r="W157" s="4" t="s">
        <v>170</v>
      </c>
      <c r="X157" s="4" t="s">
        <v>181</v>
      </c>
    </row>
    <row r="158" spans="1:24" ht="15" customHeight="1" x14ac:dyDescent="0.3">
      <c r="A158" s="37">
        <v>45966</v>
      </c>
      <c r="B158" s="38">
        <v>144</v>
      </c>
      <c r="C158" s="38"/>
      <c r="D158" s="38"/>
      <c r="E158" s="38">
        <v>1</v>
      </c>
      <c r="F158" s="38"/>
      <c r="G158" s="38"/>
      <c r="H158" s="38"/>
      <c r="I158" s="38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>
        <f t="shared" si="0"/>
        <v>1</v>
      </c>
      <c r="U158" s="42" cm="1">
        <f t="array" ref="U158">SUMPRODUCT(D158:S158,VLOOKUP($D$1:$S$1,$AG$8:$AH$23,2,FALSE))</f>
        <v>31500</v>
      </c>
      <c r="V158" s="4" t="s">
        <v>160</v>
      </c>
      <c r="W158" s="4" t="s">
        <v>170</v>
      </c>
    </row>
    <row r="159" spans="1:24" ht="15" customHeight="1" x14ac:dyDescent="0.3">
      <c r="A159" s="37">
        <v>45968</v>
      </c>
      <c r="B159" s="38">
        <v>145</v>
      </c>
      <c r="C159" s="38"/>
      <c r="D159" s="38"/>
      <c r="E159" s="38">
        <v>1</v>
      </c>
      <c r="F159" s="38"/>
      <c r="G159" s="38"/>
      <c r="H159" s="38"/>
      <c r="I159" s="38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>
        <f t="shared" si="0"/>
        <v>1</v>
      </c>
      <c r="U159" s="42" cm="1">
        <f t="array" ref="U159">SUMPRODUCT(D159:S159,VLOOKUP($D$1:$S$1,$AG$8:$AH$23,2,FALSE))</f>
        <v>31500</v>
      </c>
      <c r="V159" s="4" t="s">
        <v>160</v>
      </c>
      <c r="W159" s="4" t="s">
        <v>169</v>
      </c>
    </row>
    <row r="160" spans="1:24" ht="15" customHeight="1" x14ac:dyDescent="0.3">
      <c r="A160" s="37">
        <v>45968</v>
      </c>
      <c r="B160" s="38">
        <v>146</v>
      </c>
      <c r="C160" s="38"/>
      <c r="D160" s="38"/>
      <c r="E160" s="38"/>
      <c r="F160" s="38">
        <v>1</v>
      </c>
      <c r="G160" s="38"/>
      <c r="H160" s="38"/>
      <c r="I160" s="38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>
        <f t="shared" si="0"/>
        <v>1</v>
      </c>
      <c r="U160" s="42" cm="1">
        <f t="array" ref="U160">SUMPRODUCT(D160:S160,VLOOKUP($D$1:$S$1,$AG$8:$AH$23,2,FALSE))</f>
        <v>81200</v>
      </c>
      <c r="V160" s="4" t="s">
        <v>162</v>
      </c>
      <c r="W160" s="4" t="s">
        <v>170</v>
      </c>
    </row>
    <row r="161" spans="1:24" ht="15" customHeight="1" x14ac:dyDescent="0.3">
      <c r="A161" s="37">
        <v>45969</v>
      </c>
      <c r="B161" s="38">
        <v>147</v>
      </c>
      <c r="C161" s="38"/>
      <c r="D161" s="38"/>
      <c r="E161" s="38"/>
      <c r="F161" s="38">
        <v>1</v>
      </c>
      <c r="G161" s="38"/>
      <c r="H161" s="38"/>
      <c r="I161" s="38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>
        <f t="shared" si="0"/>
        <v>1</v>
      </c>
      <c r="U161" s="42" cm="1">
        <f t="array" ref="U161">SUMPRODUCT(D161:S161,VLOOKUP($D$1:$S$1,$AG$8:$AH$23,2,FALSE))</f>
        <v>81200</v>
      </c>
      <c r="V161" s="4" t="s">
        <v>161</v>
      </c>
      <c r="W161" s="4" t="s">
        <v>173</v>
      </c>
    </row>
    <row r="162" spans="1:24" ht="15" customHeight="1" x14ac:dyDescent="0.3">
      <c r="A162" s="37">
        <v>45969</v>
      </c>
      <c r="B162" s="38">
        <v>148</v>
      </c>
      <c r="C162" s="38"/>
      <c r="D162" s="38">
        <v>1</v>
      </c>
      <c r="E162" s="38"/>
      <c r="F162" s="38"/>
      <c r="G162" s="38"/>
      <c r="H162" s="38"/>
      <c r="I162" s="38"/>
      <c r="J162" s="38"/>
      <c r="K162" s="38">
        <v>1</v>
      </c>
      <c r="L162" s="38"/>
      <c r="M162" s="38"/>
      <c r="N162" s="38"/>
      <c r="O162" s="38"/>
      <c r="P162" s="38"/>
      <c r="Q162" s="38"/>
      <c r="R162" s="38"/>
      <c r="S162" s="38"/>
      <c r="T162" s="38">
        <f t="shared" si="0"/>
        <v>2</v>
      </c>
      <c r="U162" s="42" cm="1">
        <f t="array" ref="U162">SUMPRODUCT(D162:S162,VLOOKUP($D$1:$S$1,$AG$8:$AH$23,2,FALSE))</f>
        <v>35400</v>
      </c>
      <c r="V162" s="4" t="s">
        <v>163</v>
      </c>
      <c r="W162" s="4" t="s">
        <v>173</v>
      </c>
    </row>
    <row r="163" spans="1:24" ht="15" customHeight="1" x14ac:dyDescent="0.3">
      <c r="A163" s="37">
        <v>45972</v>
      </c>
      <c r="B163" s="38">
        <v>149</v>
      </c>
      <c r="C163" s="38"/>
      <c r="D163" s="38"/>
      <c r="E163" s="38"/>
      <c r="F163" s="38"/>
      <c r="G163" s="38"/>
      <c r="H163" s="38">
        <v>1</v>
      </c>
      <c r="I163" s="38"/>
      <c r="J163" s="38"/>
      <c r="K163" s="38">
        <v>2</v>
      </c>
      <c r="L163" s="38"/>
      <c r="M163" s="38"/>
      <c r="N163" s="38"/>
      <c r="O163" s="38"/>
      <c r="P163" s="38"/>
      <c r="Q163" s="38"/>
      <c r="R163" s="38"/>
      <c r="S163" s="38"/>
      <c r="T163" s="38">
        <f t="shared" si="0"/>
        <v>3</v>
      </c>
      <c r="U163" s="42" cm="1">
        <f t="array" ref="U163">SUMPRODUCT(D163:S163,VLOOKUP($D$1:$S$1,$AG$8:$AH$23,2,FALSE))</f>
        <v>30000</v>
      </c>
      <c r="V163" s="4" t="s">
        <v>161</v>
      </c>
      <c r="W163" s="4" t="s">
        <v>169</v>
      </c>
    </row>
    <row r="164" spans="1:24" ht="15" customHeight="1" x14ac:dyDescent="0.3">
      <c r="A164" s="37">
        <v>45972</v>
      </c>
      <c r="B164" s="38">
        <v>150</v>
      </c>
      <c r="C164" s="38"/>
      <c r="D164" s="38"/>
      <c r="E164" s="38"/>
      <c r="F164" s="38"/>
      <c r="G164" s="38"/>
      <c r="H164" s="38"/>
      <c r="I164" s="38"/>
      <c r="J164" s="38"/>
      <c r="K164" s="38"/>
      <c r="L164" s="38">
        <v>1</v>
      </c>
      <c r="M164" s="38"/>
      <c r="N164" s="38">
        <v>1</v>
      </c>
      <c r="O164" s="38"/>
      <c r="P164" s="38"/>
      <c r="Q164" s="38"/>
      <c r="R164" s="38"/>
      <c r="S164" s="38">
        <v>1</v>
      </c>
      <c r="T164" s="38">
        <f t="shared" si="0"/>
        <v>3</v>
      </c>
      <c r="U164" s="42" cm="1">
        <f t="array" ref="U164">SUMPRODUCT(D164:S164,VLOOKUP($D$1:$S$1,$AG$8:$AH$23,2,FALSE))</f>
        <v>57900</v>
      </c>
      <c r="V164" s="4" t="s">
        <v>161</v>
      </c>
      <c r="W164" s="4" t="s">
        <v>169</v>
      </c>
    </row>
    <row r="165" spans="1:24" ht="15" customHeight="1" x14ac:dyDescent="0.3">
      <c r="A165" s="37">
        <v>45972</v>
      </c>
      <c r="B165" s="38">
        <v>151</v>
      </c>
      <c r="C165" s="38"/>
      <c r="D165" s="38"/>
      <c r="E165" s="38"/>
      <c r="F165" s="38"/>
      <c r="G165" s="38"/>
      <c r="H165" s="38"/>
      <c r="I165" s="38"/>
      <c r="J165" s="38"/>
      <c r="K165" s="38">
        <v>1</v>
      </c>
      <c r="L165" s="38"/>
      <c r="M165" s="38"/>
      <c r="N165" s="38">
        <v>1</v>
      </c>
      <c r="O165" s="38"/>
      <c r="P165" s="38"/>
      <c r="Q165" s="38"/>
      <c r="R165" s="38">
        <v>1</v>
      </c>
      <c r="S165" s="38">
        <v>1</v>
      </c>
      <c r="T165" s="38">
        <f t="shared" si="0"/>
        <v>4</v>
      </c>
      <c r="U165" s="42" cm="1">
        <f t="array" ref="U165">SUMPRODUCT(D165:S165,VLOOKUP($D$1:$S$1,$AG$8:$AH$23,2,FALSE))</f>
        <v>58000</v>
      </c>
      <c r="V165" s="4" t="s">
        <v>161</v>
      </c>
      <c r="W165" s="4" t="s">
        <v>169</v>
      </c>
    </row>
    <row r="166" spans="1:24" ht="15" customHeight="1" x14ac:dyDescent="0.3">
      <c r="A166" s="37">
        <v>45972</v>
      </c>
      <c r="B166" s="38">
        <v>152</v>
      </c>
      <c r="C166" s="38"/>
      <c r="D166" s="38"/>
      <c r="E166" s="38"/>
      <c r="F166" s="38"/>
      <c r="G166" s="38">
        <v>1</v>
      </c>
      <c r="H166" s="38">
        <v>1</v>
      </c>
      <c r="I166" s="38"/>
      <c r="J166" s="38"/>
      <c r="K166" s="38">
        <v>4</v>
      </c>
      <c r="L166" s="38"/>
      <c r="M166" s="38"/>
      <c r="N166" s="38"/>
      <c r="O166" s="38"/>
      <c r="P166" s="38"/>
      <c r="Q166" s="38"/>
      <c r="R166" s="38"/>
      <c r="S166" s="38"/>
      <c r="T166" s="38">
        <f t="shared" si="0"/>
        <v>6</v>
      </c>
      <c r="U166" s="42" cm="1">
        <f t="array" ref="U166">SUMPRODUCT(D166:S166,VLOOKUP($D$1:$S$1,$AG$8:$AH$23,2,FALSE))</f>
        <v>83900</v>
      </c>
      <c r="V166" s="4" t="s">
        <v>162</v>
      </c>
      <c r="W166" s="4" t="s">
        <v>169</v>
      </c>
    </row>
    <row r="167" spans="1:24" ht="15" customHeight="1" x14ac:dyDescent="0.3">
      <c r="A167" s="37">
        <v>45972</v>
      </c>
      <c r="B167" s="38">
        <v>153</v>
      </c>
      <c r="C167" s="38"/>
      <c r="D167" s="38"/>
      <c r="E167" s="38"/>
      <c r="F167" s="38"/>
      <c r="G167" s="38"/>
      <c r="H167" s="38"/>
      <c r="I167" s="38"/>
      <c r="J167" s="38"/>
      <c r="K167" s="38">
        <v>2.5</v>
      </c>
      <c r="L167" s="38"/>
      <c r="M167" s="38"/>
      <c r="N167" s="38"/>
      <c r="O167" s="38"/>
      <c r="P167" s="38"/>
      <c r="Q167" s="38"/>
      <c r="R167" s="38"/>
      <c r="S167" s="38"/>
      <c r="T167" s="38">
        <f t="shared" si="0"/>
        <v>2.5</v>
      </c>
      <c r="U167" s="42" cm="1">
        <f t="array" ref="U167">SUMPRODUCT(D167:S167,VLOOKUP($D$1:$S$1,$AG$8:$AH$23,2,FALSE))</f>
        <v>25000</v>
      </c>
      <c r="V167" s="4" t="s">
        <v>160</v>
      </c>
      <c r="W167" s="4" t="s">
        <v>169</v>
      </c>
    </row>
    <row r="168" spans="1:24" ht="15" customHeight="1" x14ac:dyDescent="0.3">
      <c r="A168" s="37">
        <v>45972</v>
      </c>
      <c r="B168" s="38">
        <v>154</v>
      </c>
      <c r="C168" s="38"/>
      <c r="D168" s="38"/>
      <c r="E168" s="38"/>
      <c r="F168" s="38"/>
      <c r="G168" s="38"/>
      <c r="H168" s="38"/>
      <c r="I168" s="38"/>
      <c r="J168" s="38"/>
      <c r="K168" s="38">
        <v>1</v>
      </c>
      <c r="L168" s="38"/>
      <c r="M168" s="38"/>
      <c r="N168" s="38">
        <v>1</v>
      </c>
      <c r="O168" s="38"/>
      <c r="P168" s="38"/>
      <c r="Q168" s="38"/>
      <c r="R168" s="38"/>
      <c r="S168" s="38">
        <v>1</v>
      </c>
      <c r="T168" s="38">
        <f t="shared" si="0"/>
        <v>3</v>
      </c>
      <c r="U168" s="42" cm="1">
        <f t="array" ref="U168">SUMPRODUCT(D168:S168,VLOOKUP($D$1:$S$1,$AG$8:$AH$23,2,FALSE))</f>
        <v>48000</v>
      </c>
      <c r="V168" s="4" t="s">
        <v>162</v>
      </c>
      <c r="W168" s="4" t="s">
        <v>169</v>
      </c>
      <c r="X168" s="4" t="s">
        <v>182</v>
      </c>
    </row>
    <row r="169" spans="1:24" ht="15" customHeight="1" x14ac:dyDescent="0.3">
      <c r="A169" s="37">
        <v>45973</v>
      </c>
      <c r="B169" s="38">
        <v>155</v>
      </c>
      <c r="C169" s="38"/>
      <c r="D169" s="38"/>
      <c r="E169" s="38"/>
      <c r="F169" s="38"/>
      <c r="G169" s="38"/>
      <c r="H169" s="38"/>
      <c r="I169" s="38"/>
      <c r="J169" s="38"/>
      <c r="K169" s="38">
        <v>2</v>
      </c>
      <c r="L169" s="38"/>
      <c r="M169" s="38"/>
      <c r="N169" s="38"/>
      <c r="O169" s="38">
        <v>0.5</v>
      </c>
      <c r="P169" s="38"/>
      <c r="Q169" s="38"/>
      <c r="R169" s="38">
        <v>1</v>
      </c>
      <c r="S169" s="38">
        <v>2</v>
      </c>
      <c r="T169" s="38">
        <f t="shared" si="0"/>
        <v>5.5</v>
      </c>
      <c r="U169" s="42" cm="1">
        <f t="array" ref="U169">SUMPRODUCT(D169:S169,VLOOKUP($D$1:$S$1,$AG$8:$AH$23,2,FALSE))</f>
        <v>66000</v>
      </c>
      <c r="V169" s="4" t="s">
        <v>161</v>
      </c>
      <c r="W169" s="4" t="s">
        <v>169</v>
      </c>
      <c r="X169" s="4" t="s">
        <v>183</v>
      </c>
    </row>
    <row r="170" spans="1:24" ht="15" customHeight="1" x14ac:dyDescent="0.3">
      <c r="A170" s="37">
        <v>45973</v>
      </c>
      <c r="B170" s="38">
        <v>156</v>
      </c>
      <c r="C170" s="38"/>
      <c r="D170" s="38"/>
      <c r="E170" s="38"/>
      <c r="F170" s="38"/>
      <c r="G170" s="38"/>
      <c r="H170" s="38">
        <v>1</v>
      </c>
      <c r="I170" s="38"/>
      <c r="J170" s="38"/>
      <c r="K170" s="38">
        <v>2</v>
      </c>
      <c r="L170" s="38"/>
      <c r="M170" s="38"/>
      <c r="N170" s="38"/>
      <c r="O170" s="38"/>
      <c r="P170" s="38"/>
      <c r="Q170" s="38"/>
      <c r="R170" s="38"/>
      <c r="S170" s="38"/>
      <c r="T170" s="38">
        <f t="shared" si="0"/>
        <v>3</v>
      </c>
      <c r="U170" s="42" cm="1">
        <f t="array" ref="U170">SUMPRODUCT(D170:S170,VLOOKUP($D$1:$S$1,$AG$8:$AH$23,2,FALSE))</f>
        <v>30000</v>
      </c>
      <c r="V170" s="4" t="s">
        <v>161</v>
      </c>
      <c r="W170" s="4" t="s">
        <v>169</v>
      </c>
    </row>
    <row r="171" spans="1:24" ht="15" customHeight="1" x14ac:dyDescent="0.3">
      <c r="A171" s="37">
        <v>45973</v>
      </c>
      <c r="B171" s="38">
        <v>157</v>
      </c>
      <c r="C171" s="38"/>
      <c r="D171" s="38"/>
      <c r="E171" s="38"/>
      <c r="F171" s="38"/>
      <c r="G171" s="38"/>
      <c r="H171" s="38"/>
      <c r="I171" s="38"/>
      <c r="J171" s="38"/>
      <c r="K171" s="38">
        <v>2</v>
      </c>
      <c r="L171" s="38"/>
      <c r="M171" s="38"/>
      <c r="N171" s="38"/>
      <c r="O171" s="38"/>
      <c r="P171" s="38"/>
      <c r="Q171" s="38"/>
      <c r="R171" s="38"/>
      <c r="S171" s="38">
        <v>1</v>
      </c>
      <c r="T171" s="38">
        <f t="shared" si="0"/>
        <v>3</v>
      </c>
      <c r="U171" s="42" cm="1">
        <f t="array" ref="U171">SUMPRODUCT(D171:S171,VLOOKUP($D$1:$S$1,$AG$8:$AH$23,2,FALSE))</f>
        <v>34000</v>
      </c>
      <c r="V171" s="4" t="s">
        <v>162</v>
      </c>
      <c r="W171" s="4" t="s">
        <v>169</v>
      </c>
    </row>
    <row r="172" spans="1:24" ht="15" customHeight="1" x14ac:dyDescent="0.3">
      <c r="A172" s="37">
        <v>45973</v>
      </c>
      <c r="B172" s="38">
        <v>158</v>
      </c>
      <c r="C172" s="38"/>
      <c r="D172" s="38"/>
      <c r="E172" s="38"/>
      <c r="F172" s="38"/>
      <c r="G172" s="38"/>
      <c r="H172" s="38">
        <v>1</v>
      </c>
      <c r="I172" s="38"/>
      <c r="J172" s="38"/>
      <c r="K172" s="38">
        <v>1</v>
      </c>
      <c r="L172" s="38"/>
      <c r="M172" s="38"/>
      <c r="N172" s="38"/>
      <c r="O172" s="38"/>
      <c r="P172" s="38"/>
      <c r="Q172" s="38"/>
      <c r="R172" s="38">
        <v>1</v>
      </c>
      <c r="S172" s="38"/>
      <c r="T172" s="38">
        <f t="shared" si="0"/>
        <v>3</v>
      </c>
      <c r="U172" s="42" cm="1">
        <f t="array" ref="U172">SUMPRODUCT(D172:S172,VLOOKUP($D$1:$S$1,$AG$8:$AH$23,2,FALSE))</f>
        <v>30000</v>
      </c>
      <c r="V172" s="4" t="s">
        <v>160</v>
      </c>
      <c r="W172" s="4" t="s">
        <v>169</v>
      </c>
    </row>
    <row r="173" spans="1:24" ht="15" customHeight="1" x14ac:dyDescent="0.3">
      <c r="A173" s="37">
        <v>45974</v>
      </c>
      <c r="B173" s="38">
        <v>159</v>
      </c>
      <c r="C173" s="38"/>
      <c r="D173" s="38">
        <v>1</v>
      </c>
      <c r="E173" s="38"/>
      <c r="F173" s="38"/>
      <c r="G173" s="38"/>
      <c r="H173" s="38"/>
      <c r="I173" s="38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>
        <f t="shared" si="0"/>
        <v>1</v>
      </c>
      <c r="U173" s="42" cm="1">
        <f t="array" ref="U173">SUMPRODUCT(D173:S173,VLOOKUP($D$1:$S$1,$AG$8:$AH$23,2,FALSE))</f>
        <v>25400</v>
      </c>
      <c r="V173" s="4" t="s">
        <v>163</v>
      </c>
      <c r="W173" s="4" t="s">
        <v>172</v>
      </c>
    </row>
    <row r="174" spans="1:24" ht="15" customHeight="1" x14ac:dyDescent="0.3">
      <c r="A174" s="37">
        <v>45974</v>
      </c>
      <c r="B174" s="38">
        <v>160</v>
      </c>
      <c r="C174" s="38"/>
      <c r="D174" s="38"/>
      <c r="E174" s="38"/>
      <c r="F174" s="38"/>
      <c r="G174" s="38"/>
      <c r="H174" s="38"/>
      <c r="I174" s="38"/>
      <c r="J174" s="38"/>
      <c r="K174" s="38">
        <v>1</v>
      </c>
      <c r="L174" s="38"/>
      <c r="M174" s="38"/>
      <c r="N174" s="38"/>
      <c r="O174" s="38">
        <v>1</v>
      </c>
      <c r="P174" s="38"/>
      <c r="Q174" s="38"/>
      <c r="R174" s="38"/>
      <c r="S174" s="38"/>
      <c r="T174" s="38">
        <f t="shared" si="0"/>
        <v>2</v>
      </c>
      <c r="U174" s="42" cm="1">
        <f t="array" ref="U174">SUMPRODUCT(D174:S174,VLOOKUP($D$1:$S$1,$AG$8:$AH$23,2,FALSE))</f>
        <v>26000</v>
      </c>
      <c r="V174" s="4" t="s">
        <v>163</v>
      </c>
      <c r="W174" s="4" t="s">
        <v>172</v>
      </c>
    </row>
    <row r="175" spans="1:24" ht="15" customHeight="1" x14ac:dyDescent="0.3">
      <c r="A175" s="37">
        <v>45974</v>
      </c>
      <c r="B175" s="38">
        <v>161</v>
      </c>
      <c r="C175" s="38"/>
      <c r="D175" s="38">
        <v>1</v>
      </c>
      <c r="E175" s="38"/>
      <c r="F175" s="38"/>
      <c r="G175" s="38"/>
      <c r="H175" s="38"/>
      <c r="I175" s="38"/>
      <c r="J175" s="38"/>
      <c r="K175" s="38"/>
      <c r="L175" s="38">
        <v>1</v>
      </c>
      <c r="M175" s="38"/>
      <c r="N175" s="38"/>
      <c r="O175" s="38"/>
      <c r="P175" s="38"/>
      <c r="Q175" s="38"/>
      <c r="R175" s="38"/>
      <c r="S175" s="38"/>
      <c r="T175" s="38">
        <f t="shared" si="0"/>
        <v>2</v>
      </c>
      <c r="U175" s="42" cm="1">
        <f t="array" ref="U175">SUMPRODUCT(D175:S175,VLOOKUP($D$1:$S$1,$AG$8:$AH$23,2,FALSE))</f>
        <v>45300</v>
      </c>
      <c r="V175" s="4" t="s">
        <v>163</v>
      </c>
      <c r="W175" s="4" t="s">
        <v>172</v>
      </c>
    </row>
    <row r="176" spans="1:24" ht="15" customHeight="1" x14ac:dyDescent="0.3">
      <c r="A176" s="37">
        <v>45975</v>
      </c>
      <c r="B176" s="38">
        <v>162</v>
      </c>
      <c r="C176" s="38"/>
      <c r="D176" s="38"/>
      <c r="E176" s="38"/>
      <c r="F176" s="38"/>
      <c r="G176" s="38"/>
      <c r="H176" s="38">
        <v>2</v>
      </c>
      <c r="I176" s="38"/>
      <c r="J176" s="38"/>
      <c r="K176" s="38"/>
      <c r="L176" s="38"/>
      <c r="M176" s="38">
        <v>2</v>
      </c>
      <c r="N176" s="38"/>
      <c r="O176" s="38"/>
      <c r="P176" s="38"/>
      <c r="Q176" s="38"/>
      <c r="R176" s="38"/>
      <c r="S176" s="38"/>
      <c r="T176" s="38">
        <f t="shared" si="0"/>
        <v>4</v>
      </c>
      <c r="U176" s="42" cm="1">
        <f t="array" ref="U176">SUMPRODUCT(D176:S176,VLOOKUP($D$1:$S$1,$AG$8:$AH$23,2,FALSE))</f>
        <v>35000</v>
      </c>
      <c r="V176" s="4" t="s">
        <v>162</v>
      </c>
      <c r="W176" s="4" t="s">
        <v>169</v>
      </c>
      <c r="X176" s="4" t="s">
        <v>184</v>
      </c>
    </row>
    <row r="177" spans="1:24" ht="15" customHeight="1" x14ac:dyDescent="0.3">
      <c r="A177" s="37">
        <v>45975</v>
      </c>
      <c r="B177" s="38">
        <v>163</v>
      </c>
      <c r="C177" s="38"/>
      <c r="D177" s="38"/>
      <c r="E177" s="38"/>
      <c r="F177" s="38"/>
      <c r="G177" s="38"/>
      <c r="H177" s="38"/>
      <c r="I177" s="38"/>
      <c r="J177" s="38"/>
      <c r="K177" s="38">
        <v>3</v>
      </c>
      <c r="L177" s="38"/>
      <c r="M177" s="38"/>
      <c r="N177" s="38"/>
      <c r="O177" s="38"/>
      <c r="P177" s="38"/>
      <c r="Q177" s="38"/>
      <c r="R177" s="38"/>
      <c r="S177" s="38"/>
      <c r="T177" s="38">
        <f t="shared" si="0"/>
        <v>3</v>
      </c>
      <c r="U177" s="42" cm="1">
        <f t="array" ref="U177">SUMPRODUCT(D177:S177,VLOOKUP($D$1:$S$1,$AG$8:$AH$23,2,FALSE))</f>
        <v>30000</v>
      </c>
      <c r="V177" s="4" t="s">
        <v>161</v>
      </c>
      <c r="W177" s="4" t="s">
        <v>169</v>
      </c>
    </row>
    <row r="178" spans="1:24" ht="15" customHeight="1" x14ac:dyDescent="0.3">
      <c r="A178" s="37">
        <v>45975</v>
      </c>
      <c r="B178" s="38">
        <v>164</v>
      </c>
      <c r="C178" s="38"/>
      <c r="D178" s="38"/>
      <c r="E178" s="38"/>
      <c r="F178" s="38"/>
      <c r="G178" s="38"/>
      <c r="H178" s="38"/>
      <c r="I178" s="38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>
        <f t="shared" si="0"/>
        <v>0</v>
      </c>
      <c r="U178" s="42" cm="1">
        <f t="array" ref="U178">SUMPRODUCT(D178:S178,VLOOKUP($D$1:$S$1,$AG$8:$AH$23,2,FALSE))</f>
        <v>0</v>
      </c>
      <c r="V178" s="4" t="s">
        <v>162</v>
      </c>
      <c r="W178" s="4" t="s">
        <v>169</v>
      </c>
      <c r="X178" s="4" t="s">
        <v>185</v>
      </c>
    </row>
    <row r="179" spans="1:24" ht="15" customHeight="1" x14ac:dyDescent="0.3">
      <c r="A179" s="37">
        <v>45976</v>
      </c>
      <c r="B179" s="38">
        <v>165</v>
      </c>
      <c r="C179" s="38"/>
      <c r="D179" s="38"/>
      <c r="E179" s="38">
        <v>1</v>
      </c>
      <c r="F179" s="38"/>
      <c r="G179" s="38"/>
      <c r="H179" s="38"/>
      <c r="I179" s="38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>
        <f t="shared" si="0"/>
        <v>1</v>
      </c>
      <c r="U179" s="42" cm="1">
        <f t="array" ref="U179">SUMPRODUCT(D179:S179,VLOOKUP($D$1:$S$1,$AG$8:$AH$23,2,FALSE))</f>
        <v>31500</v>
      </c>
      <c r="V179" s="4" t="s">
        <v>162</v>
      </c>
      <c r="W179" s="4" t="s">
        <v>172</v>
      </c>
    </row>
    <row r="180" spans="1:24" ht="15" customHeight="1" x14ac:dyDescent="0.3">
      <c r="A180" s="37">
        <v>45976</v>
      </c>
      <c r="B180" s="38">
        <v>166</v>
      </c>
      <c r="C180" s="38"/>
      <c r="D180" s="38">
        <v>1</v>
      </c>
      <c r="E180" s="38"/>
      <c r="F180" s="38"/>
      <c r="G180" s="38"/>
      <c r="H180" s="38"/>
      <c r="I180" s="38"/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>
        <f t="shared" si="0"/>
        <v>1</v>
      </c>
      <c r="U180" s="42" cm="1">
        <f t="array" ref="U180">SUMPRODUCT(D180:S180,VLOOKUP($D$1:$S$1,$AG$8:$AH$23,2,FALSE))</f>
        <v>25400</v>
      </c>
      <c r="V180" s="4" t="s">
        <v>160</v>
      </c>
      <c r="W180" s="4" t="s">
        <v>172</v>
      </c>
    </row>
    <row r="181" spans="1:24" ht="15" customHeight="1" x14ac:dyDescent="0.3">
      <c r="A181" s="37">
        <v>45978</v>
      </c>
      <c r="B181" s="38">
        <v>167</v>
      </c>
      <c r="C181" s="38"/>
      <c r="D181" s="38"/>
      <c r="E181" s="38"/>
      <c r="F181" s="38"/>
      <c r="G181" s="38"/>
      <c r="H181" s="38"/>
      <c r="I181" s="38"/>
      <c r="J181" s="38"/>
      <c r="K181" s="38">
        <v>1</v>
      </c>
      <c r="L181" s="38"/>
      <c r="M181" s="38"/>
      <c r="N181" s="38">
        <v>1</v>
      </c>
      <c r="O181" s="38"/>
      <c r="P181" s="38"/>
      <c r="Q181" s="38"/>
      <c r="R181" s="38"/>
      <c r="S181" s="38"/>
      <c r="T181" s="38">
        <f t="shared" si="0"/>
        <v>2</v>
      </c>
      <c r="U181" s="42" cm="1">
        <f t="array" ref="U181">SUMPRODUCT(D181:S181,VLOOKUP($D$1:$S$1,$AG$8:$AH$23,2,FALSE))</f>
        <v>34000</v>
      </c>
      <c r="V181" s="4" t="s">
        <v>161</v>
      </c>
      <c r="W181" s="4" t="s">
        <v>169</v>
      </c>
    </row>
    <row r="182" spans="1:24" ht="15" customHeight="1" x14ac:dyDescent="0.3">
      <c r="A182" s="37">
        <v>45978</v>
      </c>
      <c r="B182" s="38">
        <v>168</v>
      </c>
      <c r="C182" s="38"/>
      <c r="D182" s="38"/>
      <c r="E182" s="38"/>
      <c r="F182" s="38"/>
      <c r="G182" s="38"/>
      <c r="H182" s="38">
        <v>2</v>
      </c>
      <c r="I182" s="38"/>
      <c r="J182" s="38"/>
      <c r="K182" s="38">
        <v>3</v>
      </c>
      <c r="L182" s="38"/>
      <c r="M182" s="38"/>
      <c r="N182" s="38"/>
      <c r="O182" s="38"/>
      <c r="P182" s="38"/>
      <c r="Q182" s="38"/>
      <c r="R182" s="38"/>
      <c r="S182" s="38">
        <v>2</v>
      </c>
      <c r="T182" s="38">
        <f t="shared" si="0"/>
        <v>7</v>
      </c>
      <c r="U182" s="42" cm="1">
        <f t="array" ref="U182">SUMPRODUCT(D182:S182,VLOOKUP($D$1:$S$1,$AG$8:$AH$23,2,FALSE))</f>
        <v>78000</v>
      </c>
      <c r="V182" s="4" t="s">
        <v>162</v>
      </c>
      <c r="W182" s="4" t="s">
        <v>169</v>
      </c>
    </row>
    <row r="183" spans="1:24" ht="15" customHeight="1" x14ac:dyDescent="0.3">
      <c r="A183" s="37">
        <v>45978</v>
      </c>
      <c r="B183" s="38">
        <v>169</v>
      </c>
      <c r="C183" s="38"/>
      <c r="D183" s="38"/>
      <c r="E183" s="38"/>
      <c r="F183" s="38"/>
      <c r="G183" s="38"/>
      <c r="H183" s="38"/>
      <c r="I183" s="38"/>
      <c r="J183" s="38"/>
      <c r="K183" s="38">
        <v>0.2</v>
      </c>
      <c r="L183" s="38"/>
      <c r="M183" s="38"/>
      <c r="N183" s="38"/>
      <c r="O183" s="38"/>
      <c r="P183" s="38"/>
      <c r="Q183" s="38"/>
      <c r="R183" s="38"/>
      <c r="S183" s="38"/>
      <c r="T183" s="38">
        <f t="shared" si="0"/>
        <v>0.2</v>
      </c>
      <c r="U183" s="42" cm="1">
        <f t="array" ref="U183">SUMPRODUCT(D183:S183,VLOOKUP($D$1:$S$1,$AG$8:$AH$23,2,FALSE))</f>
        <v>2000</v>
      </c>
      <c r="V183" s="4" t="s">
        <v>162</v>
      </c>
      <c r="W183" s="4" t="s">
        <v>175</v>
      </c>
    </row>
    <row r="184" spans="1:24" ht="15" customHeight="1" x14ac:dyDescent="0.3">
      <c r="A184" s="37">
        <v>45980</v>
      </c>
      <c r="B184" s="38">
        <v>170</v>
      </c>
      <c r="C184" s="38"/>
      <c r="D184" s="38"/>
      <c r="E184" s="38"/>
      <c r="F184" s="38"/>
      <c r="G184" s="38"/>
      <c r="H184" s="38"/>
      <c r="I184" s="38"/>
      <c r="J184" s="38"/>
      <c r="K184" s="38">
        <v>2</v>
      </c>
      <c r="L184" s="38"/>
      <c r="M184" s="38"/>
      <c r="N184" s="38"/>
      <c r="O184" s="38">
        <v>1</v>
      </c>
      <c r="P184" s="38"/>
      <c r="Q184" s="38"/>
      <c r="R184" s="38"/>
      <c r="S184" s="38"/>
      <c r="T184" s="38">
        <f t="shared" si="0"/>
        <v>3</v>
      </c>
      <c r="U184" s="42" cm="1">
        <f t="array" ref="U184">SUMPRODUCT(D184:S184,VLOOKUP($D$1:$S$1,$AG$8:$AH$23,2,FALSE))</f>
        <v>36000</v>
      </c>
      <c r="V184" s="4" t="s">
        <v>161</v>
      </c>
      <c r="W184" s="4" t="s">
        <v>169</v>
      </c>
    </row>
    <row r="185" spans="1:24" ht="15" customHeight="1" x14ac:dyDescent="0.3">
      <c r="A185" s="37">
        <v>45980</v>
      </c>
      <c r="B185" s="38">
        <v>171</v>
      </c>
      <c r="C185" s="38"/>
      <c r="D185" s="38"/>
      <c r="E185" s="38"/>
      <c r="F185" s="38"/>
      <c r="G185" s="38"/>
      <c r="H185" s="38">
        <v>2</v>
      </c>
      <c r="I185" s="38"/>
      <c r="J185" s="38"/>
      <c r="K185" s="38">
        <v>0.5</v>
      </c>
      <c r="L185" s="38"/>
      <c r="M185" s="38"/>
      <c r="N185" s="38"/>
      <c r="O185" s="38"/>
      <c r="P185" s="38"/>
      <c r="Q185" s="38"/>
      <c r="R185" s="38"/>
      <c r="S185" s="38"/>
      <c r="T185" s="38">
        <f t="shared" si="0"/>
        <v>2.5</v>
      </c>
      <c r="U185" s="42" cm="1">
        <f t="array" ref="U185">SUMPRODUCT(D185:S185,VLOOKUP($D$1:$S$1,$AG$8:$AH$23,2,FALSE))</f>
        <v>25000</v>
      </c>
      <c r="V185" s="4" t="s">
        <v>163</v>
      </c>
      <c r="W185" s="4" t="s">
        <v>169</v>
      </c>
    </row>
    <row r="186" spans="1:24" ht="15" customHeight="1" x14ac:dyDescent="0.3">
      <c r="A186" s="37">
        <v>45980</v>
      </c>
      <c r="B186" s="38">
        <v>172</v>
      </c>
      <c r="C186" s="38"/>
      <c r="D186" s="38"/>
      <c r="E186" s="38"/>
      <c r="F186" s="38"/>
      <c r="G186" s="38"/>
      <c r="H186" s="38"/>
      <c r="I186" s="38"/>
      <c r="J186" s="38"/>
      <c r="K186" s="38">
        <v>2</v>
      </c>
      <c r="L186" s="38"/>
      <c r="M186" s="38"/>
      <c r="N186" s="38">
        <v>1</v>
      </c>
      <c r="O186" s="38"/>
      <c r="P186" s="38"/>
      <c r="Q186" s="38"/>
      <c r="R186" s="38"/>
      <c r="S186" s="38"/>
      <c r="T186" s="38">
        <f t="shared" si="0"/>
        <v>3</v>
      </c>
      <c r="U186" s="42" cm="1">
        <f t="array" ref="U186">SUMPRODUCT(D186:S186,VLOOKUP($D$1:$S$1,$AG$8:$AH$23,2,FALSE))</f>
        <v>44000</v>
      </c>
      <c r="V186" s="4" t="s">
        <v>160</v>
      </c>
      <c r="W186" s="4" t="s">
        <v>169</v>
      </c>
    </row>
    <row r="187" spans="1:24" ht="15" customHeight="1" x14ac:dyDescent="0.3">
      <c r="A187" s="37">
        <v>45980</v>
      </c>
      <c r="B187" s="38">
        <v>173</v>
      </c>
      <c r="C187" s="38"/>
      <c r="D187" s="38"/>
      <c r="E187" s="38">
        <v>1</v>
      </c>
      <c r="F187" s="38"/>
      <c r="G187" s="38"/>
      <c r="H187" s="38"/>
      <c r="I187" s="38"/>
      <c r="J187" s="38"/>
      <c r="K187" s="38"/>
      <c r="L187" s="38"/>
      <c r="M187" s="38"/>
      <c r="N187" s="38"/>
      <c r="O187" s="38"/>
      <c r="P187" s="38"/>
      <c r="Q187" s="38"/>
      <c r="R187" s="38"/>
      <c r="S187" s="38"/>
      <c r="T187" s="38">
        <f t="shared" si="0"/>
        <v>1</v>
      </c>
      <c r="U187" s="42" cm="1">
        <f t="array" ref="U187">SUMPRODUCT(D187:S187,VLOOKUP($D$1:$S$1,$AG$8:$AH$23,2,FALSE))</f>
        <v>31500</v>
      </c>
      <c r="V187" s="4" t="s">
        <v>162</v>
      </c>
      <c r="W187" s="4" t="s">
        <v>169</v>
      </c>
    </row>
    <row r="188" spans="1:24" ht="15" customHeight="1" x14ac:dyDescent="0.3">
      <c r="A188" s="37">
        <v>45980</v>
      </c>
      <c r="B188" s="38">
        <v>174</v>
      </c>
      <c r="C188" s="38"/>
      <c r="D188" s="38"/>
      <c r="E188" s="38"/>
      <c r="F188" s="38"/>
      <c r="G188" s="38"/>
      <c r="H188" s="38"/>
      <c r="I188" s="38"/>
      <c r="J188" s="38"/>
      <c r="K188" s="38">
        <v>3</v>
      </c>
      <c r="L188" s="38"/>
      <c r="M188" s="38"/>
      <c r="N188" s="38"/>
      <c r="O188" s="38"/>
      <c r="P188" s="38"/>
      <c r="Q188" s="38"/>
      <c r="R188" s="38"/>
      <c r="S188" s="38"/>
      <c r="T188" s="38">
        <f t="shared" si="0"/>
        <v>3</v>
      </c>
      <c r="U188" s="42" cm="1">
        <f t="array" ref="U188">SUMPRODUCT(D188:S188,VLOOKUP($D$1:$S$1,$AG$8:$AH$23,2,FALSE))</f>
        <v>30000</v>
      </c>
      <c r="V188" s="4" t="s">
        <v>160</v>
      </c>
      <c r="W188" s="4" t="s">
        <v>169</v>
      </c>
    </row>
    <row r="189" spans="1:24" ht="15" customHeight="1" x14ac:dyDescent="0.3">
      <c r="A189" s="37">
        <v>45981</v>
      </c>
      <c r="B189" s="38">
        <v>175</v>
      </c>
      <c r="C189" s="38"/>
      <c r="D189" s="38"/>
      <c r="E189" s="38">
        <v>1</v>
      </c>
      <c r="F189" s="38"/>
      <c r="G189" s="38"/>
      <c r="H189" s="38"/>
      <c r="I189" s="38"/>
      <c r="J189" s="38"/>
      <c r="K189" s="38"/>
      <c r="L189" s="38"/>
      <c r="M189" s="38"/>
      <c r="N189" s="38"/>
      <c r="O189" s="38"/>
      <c r="P189" s="38"/>
      <c r="Q189" s="38"/>
      <c r="R189" s="38"/>
      <c r="S189" s="38"/>
      <c r="T189" s="38">
        <f t="shared" si="0"/>
        <v>1</v>
      </c>
      <c r="U189" s="42" cm="1">
        <f t="array" ref="U189">SUMPRODUCT(D189:S189,VLOOKUP($D$1:$S$1,$AG$8:$AH$23,2,FALSE))</f>
        <v>31500</v>
      </c>
      <c r="V189" s="4" t="s">
        <v>162</v>
      </c>
      <c r="W189" s="4" t="s">
        <v>169</v>
      </c>
    </row>
    <row r="190" spans="1:24" ht="15" customHeight="1" x14ac:dyDescent="0.3">
      <c r="A190" s="37">
        <v>45981</v>
      </c>
      <c r="B190" s="38">
        <v>176</v>
      </c>
      <c r="C190" s="38"/>
      <c r="D190" s="38"/>
      <c r="E190" s="38"/>
      <c r="F190" s="38">
        <v>1</v>
      </c>
      <c r="G190" s="38">
        <v>1</v>
      </c>
      <c r="H190" s="38"/>
      <c r="I190" s="38"/>
      <c r="J190" s="38"/>
      <c r="K190" s="38"/>
      <c r="L190" s="38"/>
      <c r="M190" s="38"/>
      <c r="N190" s="38"/>
      <c r="O190" s="38"/>
      <c r="P190" s="38"/>
      <c r="Q190" s="38"/>
      <c r="R190" s="38"/>
      <c r="S190" s="38"/>
      <c r="T190" s="38">
        <f t="shared" si="0"/>
        <v>2</v>
      </c>
      <c r="U190" s="42" cm="1">
        <f t="array" ref="U190">SUMPRODUCT(D190:S190,VLOOKUP($D$1:$S$1,$AG$8:$AH$23,2,FALSE))</f>
        <v>115100</v>
      </c>
      <c r="V190" s="4" t="s">
        <v>163</v>
      </c>
      <c r="W190" s="4" t="s">
        <v>169</v>
      </c>
    </row>
    <row r="191" spans="1:24" ht="15" customHeight="1" x14ac:dyDescent="0.3">
      <c r="A191" s="37">
        <v>45981</v>
      </c>
      <c r="B191" s="38">
        <v>177</v>
      </c>
      <c r="C191" s="38"/>
      <c r="D191" s="38"/>
      <c r="E191" s="38">
        <v>2</v>
      </c>
      <c r="F191" s="38"/>
      <c r="G191" s="38"/>
      <c r="H191" s="38"/>
      <c r="I191" s="38"/>
      <c r="J191" s="38"/>
      <c r="K191" s="38"/>
      <c r="L191" s="38"/>
      <c r="M191" s="38"/>
      <c r="N191" s="38"/>
      <c r="O191" s="38"/>
      <c r="P191" s="38"/>
      <c r="Q191" s="38"/>
      <c r="R191" s="38"/>
      <c r="S191" s="38"/>
      <c r="T191" s="38">
        <f t="shared" si="0"/>
        <v>2</v>
      </c>
      <c r="U191" s="42" cm="1">
        <f t="array" ref="U191">SUMPRODUCT(D191:S191,VLOOKUP($D$1:$S$1,$AG$8:$AH$23,2,FALSE))</f>
        <v>63000</v>
      </c>
      <c r="V191" s="4" t="s">
        <v>162</v>
      </c>
      <c r="W191" s="4" t="s">
        <v>169</v>
      </c>
    </row>
    <row r="192" spans="1:24" ht="15" customHeight="1" x14ac:dyDescent="0.3">
      <c r="A192" s="37">
        <v>45983</v>
      </c>
      <c r="B192" s="38">
        <v>178</v>
      </c>
      <c r="C192" s="38"/>
      <c r="D192" s="38"/>
      <c r="E192" s="38"/>
      <c r="F192" s="38">
        <v>1</v>
      </c>
      <c r="G192" s="38"/>
      <c r="H192" s="38"/>
      <c r="I192" s="38"/>
      <c r="J192" s="38"/>
      <c r="K192" s="38"/>
      <c r="L192" s="38"/>
      <c r="M192" s="38"/>
      <c r="N192" s="38">
        <v>1</v>
      </c>
      <c r="O192" s="38"/>
      <c r="P192" s="38"/>
      <c r="Q192" s="38"/>
      <c r="R192" s="38"/>
      <c r="S192" s="38"/>
      <c r="T192" s="38">
        <f t="shared" si="0"/>
        <v>2</v>
      </c>
      <c r="U192" s="42" cm="1">
        <f t="array" ref="U192">SUMPRODUCT(D192:S192,VLOOKUP($D$1:$S$1,$AG$8:$AH$23,2,FALSE))</f>
        <v>105200</v>
      </c>
      <c r="V192" s="4" t="s">
        <v>162</v>
      </c>
      <c r="W192" s="4" t="s">
        <v>172</v>
      </c>
    </row>
    <row r="193" spans="1:24" ht="15" customHeight="1" x14ac:dyDescent="0.3">
      <c r="A193" s="37">
        <v>45983</v>
      </c>
      <c r="B193" s="38">
        <v>179</v>
      </c>
      <c r="C193" s="38"/>
      <c r="D193" s="38"/>
      <c r="E193" s="38">
        <v>1</v>
      </c>
      <c r="F193" s="38"/>
      <c r="G193" s="38"/>
      <c r="H193" s="38"/>
      <c r="I193" s="38"/>
      <c r="J193" s="38"/>
      <c r="K193" s="38"/>
      <c r="L193" s="38"/>
      <c r="M193" s="38"/>
      <c r="N193" s="38"/>
      <c r="O193" s="38"/>
      <c r="P193" s="38"/>
      <c r="Q193" s="38"/>
      <c r="R193" s="38"/>
      <c r="S193" s="38"/>
      <c r="T193" s="38">
        <f t="shared" si="0"/>
        <v>1</v>
      </c>
      <c r="U193" s="42" cm="1">
        <f t="array" ref="U193">SUMPRODUCT(D193:S193,VLOOKUP($D$1:$S$1,$AG$8:$AH$23,2,FALSE))</f>
        <v>31500</v>
      </c>
      <c r="V193" s="4" t="s">
        <v>162</v>
      </c>
      <c r="W193" s="4" t="s">
        <v>172</v>
      </c>
    </row>
    <row r="194" spans="1:24" ht="15" customHeight="1" x14ac:dyDescent="0.3">
      <c r="A194" s="37">
        <v>45986</v>
      </c>
      <c r="B194" s="38">
        <v>180</v>
      </c>
      <c r="C194" s="38"/>
      <c r="D194" s="38"/>
      <c r="E194" s="38"/>
      <c r="F194" s="38"/>
      <c r="G194" s="38"/>
      <c r="H194" s="38">
        <v>1</v>
      </c>
      <c r="I194" s="38"/>
      <c r="J194" s="38"/>
      <c r="K194" s="38">
        <v>1</v>
      </c>
      <c r="L194" s="38"/>
      <c r="M194" s="38"/>
      <c r="N194" s="38">
        <v>1</v>
      </c>
      <c r="O194" s="38">
        <v>1</v>
      </c>
      <c r="P194" s="38"/>
      <c r="Q194" s="38"/>
      <c r="R194" s="38"/>
      <c r="S194" s="38">
        <v>1</v>
      </c>
      <c r="T194" s="38">
        <f t="shared" si="0"/>
        <v>5</v>
      </c>
      <c r="U194" s="42" cm="1">
        <f t="array" ref="U194">SUMPRODUCT(D194:S194,VLOOKUP($D$1:$S$1,$AG$8:$AH$23,2,FALSE))</f>
        <v>74000</v>
      </c>
      <c r="V194" s="4" t="s">
        <v>160</v>
      </c>
      <c r="W194" s="4" t="s">
        <v>172</v>
      </c>
    </row>
    <row r="195" spans="1:24" ht="15" customHeight="1" x14ac:dyDescent="0.3">
      <c r="A195" s="37">
        <v>45986</v>
      </c>
      <c r="B195" s="38">
        <v>181</v>
      </c>
      <c r="C195" s="38"/>
      <c r="D195" s="38"/>
      <c r="E195" s="38"/>
      <c r="F195" s="38"/>
      <c r="G195" s="38"/>
      <c r="H195" s="38"/>
      <c r="I195" s="38"/>
      <c r="J195" s="38"/>
      <c r="K195" s="38"/>
      <c r="L195" s="38"/>
      <c r="M195" s="38"/>
      <c r="N195" s="38">
        <v>1</v>
      </c>
      <c r="O195" s="38"/>
      <c r="P195" s="38"/>
      <c r="Q195" s="38"/>
      <c r="R195" s="38"/>
      <c r="S195" s="38"/>
      <c r="T195" s="38">
        <f t="shared" si="0"/>
        <v>1</v>
      </c>
      <c r="U195" s="42" cm="1">
        <f t="array" ref="U195">SUMPRODUCT(D195:S195,VLOOKUP($D$1:$S$1,$AG$8:$AH$23,2,FALSE))</f>
        <v>24000</v>
      </c>
      <c r="V195" s="4" t="s">
        <v>162</v>
      </c>
      <c r="W195" s="4" t="s">
        <v>172</v>
      </c>
    </row>
    <row r="196" spans="1:24" ht="15" customHeight="1" x14ac:dyDescent="0.3">
      <c r="A196" s="37">
        <v>45988</v>
      </c>
      <c r="B196" s="38">
        <v>182</v>
      </c>
      <c r="C196" s="38"/>
      <c r="D196" s="38"/>
      <c r="E196" s="38"/>
      <c r="F196" s="38">
        <v>1</v>
      </c>
      <c r="G196" s="38"/>
      <c r="H196" s="38">
        <v>1</v>
      </c>
      <c r="I196" s="38"/>
      <c r="J196" s="38"/>
      <c r="K196" s="38"/>
      <c r="L196" s="38"/>
      <c r="M196" s="38"/>
      <c r="N196" s="38"/>
      <c r="O196" s="38">
        <v>1</v>
      </c>
      <c r="P196" s="38"/>
      <c r="Q196" s="38"/>
      <c r="R196" s="38"/>
      <c r="S196" s="38"/>
      <c r="T196" s="38">
        <f t="shared" si="0"/>
        <v>3</v>
      </c>
      <c r="U196" s="42" cm="1">
        <f t="array" ref="U196">SUMPRODUCT(D196:S196,VLOOKUP($D$1:$S$1,$AG$8:$AH$23,2,FALSE))</f>
        <v>107200</v>
      </c>
      <c r="V196" s="4" t="s">
        <v>163</v>
      </c>
      <c r="W196" s="4" t="s">
        <v>169</v>
      </c>
    </row>
    <row r="197" spans="1:24" ht="15" customHeight="1" x14ac:dyDescent="0.3">
      <c r="A197" s="37">
        <v>45988</v>
      </c>
      <c r="B197" s="38">
        <v>183</v>
      </c>
      <c r="C197" s="38"/>
      <c r="D197" s="38"/>
      <c r="E197" s="38"/>
      <c r="F197" s="38"/>
      <c r="G197" s="38">
        <v>1</v>
      </c>
      <c r="H197" s="38"/>
      <c r="I197" s="38"/>
      <c r="J197" s="38"/>
      <c r="K197" s="38"/>
      <c r="L197" s="38"/>
      <c r="M197" s="38"/>
      <c r="N197" s="38"/>
      <c r="O197" s="38"/>
      <c r="P197" s="38"/>
      <c r="Q197" s="38"/>
      <c r="R197" s="38"/>
      <c r="S197" s="38"/>
      <c r="T197" s="38">
        <f t="shared" si="0"/>
        <v>1</v>
      </c>
      <c r="U197" s="42" cm="1">
        <f t="array" ref="U197">SUMPRODUCT(D197:S197,VLOOKUP($D$1:$S$1,$AG$8:$AH$23,2,FALSE))</f>
        <v>33900</v>
      </c>
      <c r="V197" s="4" t="s">
        <v>161</v>
      </c>
      <c r="W197" s="4" t="s">
        <v>172</v>
      </c>
    </row>
    <row r="198" spans="1:24" ht="15" customHeight="1" x14ac:dyDescent="0.3">
      <c r="A198" s="37">
        <v>45988</v>
      </c>
      <c r="B198" s="38">
        <v>184</v>
      </c>
      <c r="C198" s="38"/>
      <c r="D198" s="38"/>
      <c r="E198" s="38"/>
      <c r="F198" s="38"/>
      <c r="G198" s="38"/>
      <c r="H198" s="38"/>
      <c r="I198" s="38"/>
      <c r="J198" s="38"/>
      <c r="K198" s="38"/>
      <c r="L198" s="38"/>
      <c r="M198" s="38"/>
      <c r="N198" s="38"/>
      <c r="O198" s="38"/>
      <c r="P198" s="38"/>
      <c r="Q198" s="38"/>
      <c r="R198" s="38"/>
      <c r="S198" s="38"/>
      <c r="T198" s="38">
        <f t="shared" si="0"/>
        <v>0</v>
      </c>
      <c r="U198" s="42">
        <v>25000</v>
      </c>
      <c r="V198" s="4" t="s">
        <v>162</v>
      </c>
      <c r="W198" s="4" t="s">
        <v>172</v>
      </c>
      <c r="X198" s="4" t="s">
        <v>186</v>
      </c>
    </row>
    <row r="199" spans="1:24" ht="15" customHeight="1" x14ac:dyDescent="0.3">
      <c r="A199" s="37">
        <v>45992</v>
      </c>
      <c r="B199" s="38">
        <v>185</v>
      </c>
      <c r="C199" s="38"/>
      <c r="D199" s="38"/>
      <c r="E199" s="38"/>
      <c r="F199" s="38"/>
      <c r="G199" s="38"/>
      <c r="H199" s="38">
        <v>1</v>
      </c>
      <c r="I199" s="38"/>
      <c r="J199" s="38"/>
      <c r="K199" s="38"/>
      <c r="L199" s="38"/>
      <c r="M199" s="38"/>
      <c r="N199" s="38"/>
      <c r="O199" s="38"/>
      <c r="P199" s="38"/>
      <c r="Q199" s="38"/>
      <c r="R199" s="38">
        <v>1</v>
      </c>
      <c r="S199" s="38">
        <v>1</v>
      </c>
      <c r="T199" s="38">
        <f t="shared" si="0"/>
        <v>3</v>
      </c>
      <c r="U199" s="42" cm="1">
        <f t="array" ref="U199">SUMPRODUCT(D199:S199,VLOOKUP($D$1:$S$1,$AG$8:$AH$23,2,FALSE))</f>
        <v>34000</v>
      </c>
      <c r="V199" s="4" t="s">
        <v>161</v>
      </c>
      <c r="W199" s="4" t="s">
        <v>169</v>
      </c>
    </row>
    <row r="200" spans="1:24" ht="15" customHeight="1" x14ac:dyDescent="0.3">
      <c r="A200" s="37">
        <v>45992</v>
      </c>
      <c r="B200" s="38">
        <v>186</v>
      </c>
      <c r="C200" s="38"/>
      <c r="D200" s="38"/>
      <c r="E200" s="38"/>
      <c r="F200" s="38">
        <v>1</v>
      </c>
      <c r="G200" s="38"/>
      <c r="H200" s="38"/>
      <c r="I200" s="38"/>
      <c r="J200" s="38"/>
      <c r="K200" s="38"/>
      <c r="L200" s="38"/>
      <c r="M200" s="38"/>
      <c r="N200" s="38"/>
      <c r="O200" s="38"/>
      <c r="P200" s="38"/>
      <c r="Q200" s="38"/>
      <c r="R200" s="38"/>
      <c r="S200" s="38"/>
      <c r="T200" s="38">
        <f t="shared" si="0"/>
        <v>1</v>
      </c>
      <c r="U200" s="42" cm="1">
        <f t="array" ref="U200">SUMPRODUCT(D200:S200,VLOOKUP($D$1:$S$1,$AG$8:$AH$23,2,FALSE))</f>
        <v>81200</v>
      </c>
      <c r="V200" s="4" t="s">
        <v>161</v>
      </c>
      <c r="W200" s="4" t="s">
        <v>169</v>
      </c>
    </row>
    <row r="201" spans="1:24" ht="15" customHeight="1" x14ac:dyDescent="0.3">
      <c r="A201" s="37">
        <v>45992</v>
      </c>
      <c r="B201" s="38">
        <v>187</v>
      </c>
      <c r="C201" s="38"/>
      <c r="D201" s="38">
        <v>4</v>
      </c>
      <c r="E201" s="38"/>
      <c r="F201" s="38"/>
      <c r="G201" s="38"/>
      <c r="H201" s="38"/>
      <c r="I201" s="38"/>
      <c r="J201" s="38"/>
      <c r="K201" s="38"/>
      <c r="L201" s="38"/>
      <c r="M201" s="38"/>
      <c r="N201" s="38"/>
      <c r="O201" s="38"/>
      <c r="P201" s="38"/>
      <c r="Q201" s="38"/>
      <c r="R201" s="38"/>
      <c r="S201" s="38"/>
      <c r="T201" s="38">
        <f t="shared" si="0"/>
        <v>4</v>
      </c>
      <c r="U201" s="42" cm="1">
        <f t="array" ref="U201">SUMPRODUCT(D201:S201,VLOOKUP($D$1:$S$1,$AG$8:$AH$23,2,FALSE))</f>
        <v>101600</v>
      </c>
      <c r="V201" s="4" t="s">
        <v>160</v>
      </c>
      <c r="W201" s="4" t="s">
        <v>169</v>
      </c>
    </row>
    <row r="202" spans="1:24" ht="15" customHeight="1" x14ac:dyDescent="0.3">
      <c r="A202" s="37">
        <v>45992</v>
      </c>
      <c r="B202" s="38">
        <v>188</v>
      </c>
      <c r="C202" s="38"/>
      <c r="D202" s="38"/>
      <c r="E202" s="38"/>
      <c r="F202" s="38"/>
      <c r="G202" s="38"/>
      <c r="H202" s="38">
        <v>1</v>
      </c>
      <c r="I202" s="38"/>
      <c r="J202" s="38"/>
      <c r="K202" s="38"/>
      <c r="L202" s="38"/>
      <c r="M202" s="38"/>
      <c r="N202" s="38"/>
      <c r="O202" s="38"/>
      <c r="P202" s="38"/>
      <c r="Q202" s="38"/>
      <c r="R202" s="38"/>
      <c r="S202" s="38">
        <v>1</v>
      </c>
      <c r="T202" s="38">
        <f t="shared" si="0"/>
        <v>2</v>
      </c>
      <c r="U202" s="42">
        <v>34000</v>
      </c>
      <c r="V202" s="4" t="s">
        <v>160</v>
      </c>
      <c r="W202" s="4" t="s">
        <v>169</v>
      </c>
      <c r="X202" s="4" t="s">
        <v>187</v>
      </c>
    </row>
    <row r="203" spans="1:24" ht="15" customHeight="1" x14ac:dyDescent="0.3">
      <c r="A203" s="37">
        <v>45993</v>
      </c>
      <c r="B203" s="38">
        <v>189</v>
      </c>
      <c r="C203" s="38"/>
      <c r="D203" s="38"/>
      <c r="E203" s="38"/>
      <c r="F203" s="38"/>
      <c r="G203" s="38"/>
      <c r="H203" s="38"/>
      <c r="I203" s="38"/>
      <c r="J203" s="38"/>
      <c r="K203" s="38"/>
      <c r="L203" s="38"/>
      <c r="M203" s="38"/>
      <c r="N203" s="38">
        <v>1</v>
      </c>
      <c r="O203" s="38"/>
      <c r="P203" s="38"/>
      <c r="Q203" s="38"/>
      <c r="R203" s="38"/>
      <c r="S203" s="38"/>
      <c r="T203" s="38">
        <f t="shared" si="0"/>
        <v>1</v>
      </c>
      <c r="U203" s="42">
        <v>34000</v>
      </c>
      <c r="V203" s="4" t="s">
        <v>162</v>
      </c>
      <c r="W203" s="4" t="s">
        <v>169</v>
      </c>
      <c r="X203" s="4" t="s">
        <v>187</v>
      </c>
    </row>
    <row r="204" spans="1:24" ht="15" customHeight="1" x14ac:dyDescent="0.3">
      <c r="A204" s="37">
        <v>45993</v>
      </c>
      <c r="B204" s="38">
        <v>190</v>
      </c>
      <c r="C204" s="38"/>
      <c r="D204" s="38"/>
      <c r="E204" s="38"/>
      <c r="F204" s="38">
        <v>1</v>
      </c>
      <c r="G204" s="38"/>
      <c r="H204" s="38"/>
      <c r="I204" s="38"/>
      <c r="J204" s="38"/>
      <c r="K204" s="38"/>
      <c r="L204" s="38"/>
      <c r="M204" s="38"/>
      <c r="N204" s="38"/>
      <c r="O204" s="38"/>
      <c r="P204" s="38"/>
      <c r="Q204" s="38"/>
      <c r="R204" s="38"/>
      <c r="S204" s="38"/>
      <c r="T204" s="38">
        <f t="shared" si="0"/>
        <v>1</v>
      </c>
      <c r="U204" s="42" cm="1">
        <f t="array" ref="U204">SUMPRODUCT(D204:S204,VLOOKUP($D$1:$S$1,$AG$8:$AH$23,2,FALSE))</f>
        <v>81200</v>
      </c>
      <c r="V204" s="4" t="s">
        <v>162</v>
      </c>
      <c r="W204" s="4" t="s">
        <v>169</v>
      </c>
    </row>
    <row r="205" spans="1:24" ht="15" customHeight="1" x14ac:dyDescent="0.3">
      <c r="A205" s="37">
        <v>45995</v>
      </c>
      <c r="B205" s="38">
        <v>191</v>
      </c>
      <c r="C205" s="38"/>
      <c r="D205" s="38"/>
      <c r="E205" s="38"/>
      <c r="F205" s="38"/>
      <c r="G205" s="38"/>
      <c r="H205" s="38">
        <v>1</v>
      </c>
      <c r="I205" s="38"/>
      <c r="J205" s="38"/>
      <c r="K205" s="38"/>
      <c r="L205" s="38"/>
      <c r="M205" s="38"/>
      <c r="N205" s="38">
        <v>1</v>
      </c>
      <c r="O205" s="38">
        <v>0.65</v>
      </c>
      <c r="P205" s="38"/>
      <c r="Q205" s="38"/>
      <c r="R205" s="38"/>
      <c r="S205" s="38">
        <v>1</v>
      </c>
      <c r="T205" s="38">
        <f t="shared" si="0"/>
        <v>3.65</v>
      </c>
      <c r="U205" s="42" cm="1">
        <f t="array" ref="U205">SUMPRODUCT(D205:S205,VLOOKUP($D$1:$S$1,$AG$8:$AH$23,2,FALSE))</f>
        <v>58400</v>
      </c>
      <c r="V205" s="4" t="s">
        <v>162</v>
      </c>
      <c r="W205" s="4" t="s">
        <v>169</v>
      </c>
    </row>
    <row r="206" spans="1:24" ht="15" customHeight="1" x14ac:dyDescent="0.3">
      <c r="A206" s="37">
        <v>45995</v>
      </c>
      <c r="B206" s="38">
        <v>192</v>
      </c>
      <c r="C206" s="38"/>
      <c r="D206" s="38"/>
      <c r="E206" s="38"/>
      <c r="F206" s="38"/>
      <c r="G206" s="38"/>
      <c r="H206" s="38"/>
      <c r="I206" s="38"/>
      <c r="J206" s="38"/>
      <c r="K206" s="38"/>
      <c r="L206" s="38"/>
      <c r="M206" s="38"/>
      <c r="N206" s="38"/>
      <c r="O206" s="38"/>
      <c r="P206" s="38"/>
      <c r="Q206" s="38"/>
      <c r="R206" s="38"/>
      <c r="S206" s="38"/>
      <c r="T206" s="38">
        <f t="shared" si="0"/>
        <v>0</v>
      </c>
      <c r="U206" s="42">
        <v>25000</v>
      </c>
      <c r="V206" s="4" t="s">
        <v>162</v>
      </c>
      <c r="W206" s="4" t="s">
        <v>169</v>
      </c>
      <c r="X206" s="48" t="s">
        <v>188</v>
      </c>
    </row>
    <row r="207" spans="1:24" ht="15" customHeight="1" x14ac:dyDescent="0.3">
      <c r="A207" s="37">
        <v>46003</v>
      </c>
      <c r="B207" s="38">
        <v>193</v>
      </c>
      <c r="C207" s="38"/>
      <c r="D207" s="38"/>
      <c r="E207" s="38">
        <v>1</v>
      </c>
      <c r="F207" s="38"/>
      <c r="G207" s="38"/>
      <c r="H207" s="38"/>
      <c r="I207" s="38"/>
      <c r="J207" s="38"/>
      <c r="K207" s="38"/>
      <c r="L207" s="38"/>
      <c r="M207" s="38"/>
      <c r="N207" s="38"/>
      <c r="O207" s="38"/>
      <c r="P207" s="38"/>
      <c r="Q207" s="38"/>
      <c r="R207" s="38"/>
      <c r="S207" s="38">
        <v>1</v>
      </c>
      <c r="T207" s="38">
        <f t="shared" si="0"/>
        <v>2</v>
      </c>
      <c r="U207" s="42" cm="1">
        <f t="array" ref="U207">SUMPRODUCT(D207:S207,VLOOKUP($D$1:$S$1,$AG$8:$AH$23,2,FALSE))</f>
        <v>45500</v>
      </c>
      <c r="V207" s="4" t="s">
        <v>161</v>
      </c>
      <c r="W207" s="4" t="s">
        <v>169</v>
      </c>
    </row>
    <row r="208" spans="1:24" ht="15" customHeight="1" x14ac:dyDescent="0.3">
      <c r="A208" s="37">
        <v>46003</v>
      </c>
      <c r="B208" s="38">
        <v>194</v>
      </c>
      <c r="C208" s="38"/>
      <c r="D208" s="38"/>
      <c r="E208" s="38"/>
      <c r="F208" s="38"/>
      <c r="G208" s="38"/>
      <c r="H208" s="38"/>
      <c r="I208" s="38"/>
      <c r="J208" s="38"/>
      <c r="K208" s="38"/>
      <c r="L208" s="38"/>
      <c r="M208" s="38"/>
      <c r="N208" s="38">
        <v>1</v>
      </c>
      <c r="O208" s="38">
        <v>1</v>
      </c>
      <c r="P208" s="38"/>
      <c r="Q208" s="38"/>
      <c r="R208" s="38"/>
      <c r="S208" s="38"/>
      <c r="T208" s="38">
        <f t="shared" si="0"/>
        <v>2</v>
      </c>
      <c r="U208" s="42">
        <v>50000</v>
      </c>
      <c r="V208" s="4" t="s">
        <v>161</v>
      </c>
      <c r="W208" s="4" t="s">
        <v>169</v>
      </c>
      <c r="X208" s="48" t="s">
        <v>189</v>
      </c>
    </row>
    <row r="209" spans="1:25" ht="15" customHeight="1" x14ac:dyDescent="0.3">
      <c r="A209" s="37">
        <v>46003</v>
      </c>
      <c r="B209" s="38">
        <v>195</v>
      </c>
      <c r="C209" s="38"/>
      <c r="D209" s="38"/>
      <c r="E209" s="38"/>
      <c r="F209" s="38"/>
      <c r="G209" s="38"/>
      <c r="H209" s="38"/>
      <c r="I209" s="38"/>
      <c r="J209" s="38"/>
      <c r="K209" s="38"/>
      <c r="L209" s="38"/>
      <c r="M209" s="38"/>
      <c r="N209" s="38">
        <v>1</v>
      </c>
      <c r="O209" s="38"/>
      <c r="P209" s="38"/>
      <c r="Q209" s="38"/>
      <c r="R209" s="38"/>
      <c r="S209" s="38"/>
      <c r="T209" s="38">
        <f t="shared" si="0"/>
        <v>1</v>
      </c>
      <c r="U209" s="42">
        <v>29000</v>
      </c>
      <c r="V209" s="4" t="s">
        <v>160</v>
      </c>
      <c r="W209" s="4" t="s">
        <v>169</v>
      </c>
      <c r="X209" s="48" t="s">
        <v>190</v>
      </c>
    </row>
    <row r="210" spans="1:25" ht="15" customHeight="1" x14ac:dyDescent="0.3">
      <c r="A210" s="37">
        <v>46003</v>
      </c>
      <c r="B210" s="38">
        <v>196</v>
      </c>
      <c r="C210" s="38"/>
      <c r="D210" s="38"/>
      <c r="E210" s="38"/>
      <c r="F210" s="38"/>
      <c r="G210" s="38"/>
      <c r="H210" s="38"/>
      <c r="I210" s="38"/>
      <c r="J210" s="38"/>
      <c r="K210" s="38"/>
      <c r="L210" s="38"/>
      <c r="M210" s="38"/>
      <c r="N210" s="38">
        <v>1</v>
      </c>
      <c r="O210" s="38"/>
      <c r="P210" s="38"/>
      <c r="Q210" s="38"/>
      <c r="R210" s="38"/>
      <c r="S210" s="38"/>
      <c r="T210" s="38">
        <f t="shared" si="0"/>
        <v>1</v>
      </c>
      <c r="U210" s="42">
        <v>29000</v>
      </c>
      <c r="V210" s="4" t="s">
        <v>162</v>
      </c>
      <c r="W210" s="4" t="s">
        <v>169</v>
      </c>
      <c r="X210" s="48" t="s">
        <v>190</v>
      </c>
    </row>
    <row r="211" spans="1:25" ht="15" customHeight="1" x14ac:dyDescent="0.3">
      <c r="A211" s="37">
        <v>46003</v>
      </c>
      <c r="B211" s="38">
        <v>197</v>
      </c>
      <c r="C211" s="38"/>
      <c r="D211" s="38"/>
      <c r="E211" s="38"/>
      <c r="F211" s="38"/>
      <c r="G211" s="38"/>
      <c r="H211" s="38"/>
      <c r="I211" s="38"/>
      <c r="J211" s="38"/>
      <c r="K211" s="38"/>
      <c r="L211" s="38"/>
      <c r="M211" s="38"/>
      <c r="N211" s="38"/>
      <c r="O211" s="38"/>
      <c r="P211" s="38"/>
      <c r="Q211" s="38"/>
      <c r="R211" s="38"/>
      <c r="S211" s="38"/>
      <c r="T211" s="38">
        <f t="shared" si="0"/>
        <v>0</v>
      </c>
      <c r="U211" s="42">
        <v>80000</v>
      </c>
      <c r="V211" s="4" t="s">
        <v>162</v>
      </c>
      <c r="W211" s="4" t="s">
        <v>169</v>
      </c>
      <c r="X211" s="49" t="s">
        <v>191</v>
      </c>
      <c r="Y211" s="48" t="s">
        <v>192</v>
      </c>
    </row>
    <row r="212" spans="1:25" ht="15" customHeight="1" x14ac:dyDescent="0.3">
      <c r="A212" s="37">
        <v>46007</v>
      </c>
      <c r="B212" s="38">
        <v>198</v>
      </c>
      <c r="C212" s="38"/>
      <c r="D212" s="38"/>
      <c r="E212" s="38"/>
      <c r="F212" s="38"/>
      <c r="G212" s="38"/>
      <c r="H212" s="38"/>
      <c r="I212" s="38"/>
      <c r="J212" s="38"/>
      <c r="K212" s="38"/>
      <c r="L212" s="38"/>
      <c r="M212" s="38"/>
      <c r="N212" s="38"/>
      <c r="O212" s="38"/>
      <c r="P212" s="38"/>
      <c r="Q212" s="38"/>
      <c r="R212" s="38"/>
      <c r="S212" s="38"/>
      <c r="T212" s="38">
        <f t="shared" si="0"/>
        <v>0</v>
      </c>
      <c r="U212" s="42">
        <v>40000</v>
      </c>
      <c r="V212" s="4" t="s">
        <v>161</v>
      </c>
      <c r="W212" s="4" t="s">
        <v>169</v>
      </c>
      <c r="X212" s="48" t="s">
        <v>193</v>
      </c>
    </row>
    <row r="213" spans="1:25" ht="15" customHeight="1" x14ac:dyDescent="0.3">
      <c r="A213" s="37">
        <v>46007</v>
      </c>
      <c r="B213" s="38">
        <v>199</v>
      </c>
      <c r="C213" s="38"/>
      <c r="D213" s="38"/>
      <c r="E213" s="38"/>
      <c r="F213" s="38">
        <v>1</v>
      </c>
      <c r="G213" s="38"/>
      <c r="H213" s="38"/>
      <c r="I213" s="38"/>
      <c r="J213" s="38"/>
      <c r="K213" s="38"/>
      <c r="L213" s="38"/>
      <c r="M213" s="38"/>
      <c r="N213" s="38">
        <v>1</v>
      </c>
      <c r="O213" s="38"/>
      <c r="P213" s="38"/>
      <c r="Q213" s="38"/>
      <c r="R213" s="38"/>
      <c r="S213" s="38"/>
      <c r="T213" s="38">
        <f t="shared" si="0"/>
        <v>2</v>
      </c>
      <c r="U213" s="42" cm="1">
        <f t="array" ref="U213">SUMPRODUCT(D213:S213,VLOOKUP($D$1:$S$1,$AG$8:$AH$23,2,FALSE))</f>
        <v>105200</v>
      </c>
      <c r="V213" s="4" t="s">
        <v>160</v>
      </c>
      <c r="W213" s="4" t="s">
        <v>169</v>
      </c>
      <c r="X213" s="48" t="s">
        <v>194</v>
      </c>
    </row>
    <row r="214" spans="1:25" ht="15" customHeight="1" x14ac:dyDescent="0.3">
      <c r="A214" s="37">
        <v>46008</v>
      </c>
      <c r="B214" s="38">
        <v>200</v>
      </c>
      <c r="C214" s="38"/>
      <c r="D214" s="38"/>
      <c r="E214" s="38">
        <v>1</v>
      </c>
      <c r="F214" s="38"/>
      <c r="G214" s="38"/>
      <c r="H214" s="38"/>
      <c r="I214" s="38"/>
      <c r="J214" s="38"/>
      <c r="K214" s="38"/>
      <c r="L214" s="38"/>
      <c r="M214" s="38"/>
      <c r="N214" s="38"/>
      <c r="O214" s="38"/>
      <c r="P214" s="38"/>
      <c r="Q214" s="38"/>
      <c r="R214" s="38"/>
      <c r="S214" s="38"/>
      <c r="T214" s="38">
        <f t="shared" si="0"/>
        <v>1</v>
      </c>
      <c r="U214" s="42" cm="1">
        <f t="array" ref="U214">SUMPRODUCT(D214:S214,VLOOKUP($D$1:$S$1,$AG$8:$AH$23,2,FALSE))</f>
        <v>31500</v>
      </c>
      <c r="V214" s="4" t="s">
        <v>160</v>
      </c>
      <c r="W214" s="4" t="s">
        <v>169</v>
      </c>
    </row>
    <row r="215" spans="1:25" ht="15" customHeight="1" x14ac:dyDescent="0.3">
      <c r="A215" s="37">
        <v>46008</v>
      </c>
      <c r="B215" s="38">
        <v>201</v>
      </c>
      <c r="C215" s="38"/>
      <c r="D215" s="38"/>
      <c r="E215" s="38"/>
      <c r="F215" s="38"/>
      <c r="G215" s="38"/>
      <c r="H215" s="38"/>
      <c r="I215" s="38"/>
      <c r="J215" s="38"/>
      <c r="K215" s="38"/>
      <c r="L215" s="38"/>
      <c r="M215" s="38"/>
      <c r="N215" s="38"/>
      <c r="O215" s="38"/>
      <c r="P215" s="38"/>
      <c r="Q215" s="38"/>
      <c r="R215" s="38"/>
      <c r="S215" s="38"/>
      <c r="T215" s="38">
        <f t="shared" si="0"/>
        <v>0</v>
      </c>
      <c r="U215" s="42">
        <v>85000</v>
      </c>
      <c r="V215" s="4" t="s">
        <v>163</v>
      </c>
      <c r="W215" s="4" t="s">
        <v>169</v>
      </c>
      <c r="X215" s="48" t="s">
        <v>195</v>
      </c>
    </row>
    <row r="216" spans="1:25" ht="15" customHeight="1" x14ac:dyDescent="0.3">
      <c r="A216" s="37">
        <v>46010</v>
      </c>
      <c r="B216" s="38">
        <v>202</v>
      </c>
      <c r="C216" s="38"/>
      <c r="D216" s="38"/>
      <c r="E216" s="38"/>
      <c r="F216" s="38"/>
      <c r="G216" s="38"/>
      <c r="H216" s="38">
        <v>1</v>
      </c>
      <c r="I216" s="38"/>
      <c r="J216" s="38"/>
      <c r="K216" s="38"/>
      <c r="L216" s="38"/>
      <c r="M216" s="38">
        <v>2</v>
      </c>
      <c r="N216" s="38"/>
      <c r="O216" s="38"/>
      <c r="P216" s="38"/>
      <c r="Q216" s="38"/>
      <c r="R216" s="38"/>
      <c r="S216" s="38"/>
      <c r="T216" s="38">
        <f t="shared" si="0"/>
        <v>3</v>
      </c>
      <c r="U216" s="42" cm="1">
        <f t="array" ref="U216">SUMPRODUCT(D216:S216,VLOOKUP($D$1:$S$1,$AG$8:$AH$23,2,FALSE))</f>
        <v>25000</v>
      </c>
      <c r="V216" s="4" t="s">
        <v>160</v>
      </c>
      <c r="W216" s="4" t="s">
        <v>196</v>
      </c>
    </row>
    <row r="217" spans="1:25" ht="15" customHeight="1" x14ac:dyDescent="0.3">
      <c r="A217" s="37">
        <v>46010</v>
      </c>
      <c r="B217" s="38">
        <v>203</v>
      </c>
      <c r="C217" s="38"/>
      <c r="D217" s="38"/>
      <c r="E217" s="38">
        <v>15</v>
      </c>
      <c r="F217" s="38"/>
      <c r="G217" s="38"/>
      <c r="H217" s="38"/>
      <c r="I217" s="38"/>
      <c r="J217" s="38"/>
      <c r="K217" s="38"/>
      <c r="L217" s="38"/>
      <c r="M217" s="38"/>
      <c r="N217" s="38"/>
      <c r="O217" s="38"/>
      <c r="P217" s="38"/>
      <c r="Q217" s="38"/>
      <c r="R217" s="38"/>
      <c r="S217" s="38"/>
      <c r="T217" s="38">
        <f t="shared" si="0"/>
        <v>15</v>
      </c>
      <c r="U217" s="42" cm="1">
        <f t="array" ref="U217">SUMPRODUCT(D217:S217,VLOOKUP($D$1:$S$1,$AG$8:$AH$23,2,FALSE))</f>
        <v>472500</v>
      </c>
      <c r="V217" s="4" t="s">
        <v>163</v>
      </c>
      <c r="W217" s="4" t="s">
        <v>169</v>
      </c>
      <c r="X217" s="48" t="s">
        <v>311</v>
      </c>
    </row>
    <row r="218" spans="1:25" ht="15" customHeight="1" x14ac:dyDescent="0.3">
      <c r="A218" s="37">
        <v>46015</v>
      </c>
      <c r="B218" s="38">
        <v>204</v>
      </c>
      <c r="C218" s="38"/>
      <c r="D218" s="38"/>
      <c r="E218" s="38">
        <v>1</v>
      </c>
      <c r="F218" s="38"/>
      <c r="G218" s="38"/>
      <c r="H218" s="38"/>
      <c r="I218" s="38"/>
      <c r="J218" s="38"/>
      <c r="K218" s="38"/>
      <c r="L218" s="38"/>
      <c r="M218" s="38"/>
      <c r="N218" s="38"/>
      <c r="O218" s="38"/>
      <c r="P218" s="38"/>
      <c r="Q218" s="38"/>
      <c r="R218" s="38"/>
      <c r="S218" s="38"/>
      <c r="T218" s="38">
        <f t="shared" si="0"/>
        <v>1</v>
      </c>
      <c r="U218" s="42" cm="1">
        <f t="array" ref="U218">SUMPRODUCT(D218:S218,VLOOKUP($D$1:$S$1,$AG$8:$AH$23,2,FALSE))</f>
        <v>31500</v>
      </c>
      <c r="V218" s="4" t="s">
        <v>161</v>
      </c>
      <c r="W218" s="4" t="s">
        <v>169</v>
      </c>
    </row>
    <row r="219" spans="1:25" ht="15" customHeight="1" x14ac:dyDescent="0.3">
      <c r="A219" s="37">
        <v>46015</v>
      </c>
      <c r="B219" s="38">
        <v>205</v>
      </c>
      <c r="C219" s="38"/>
      <c r="D219" s="38"/>
      <c r="E219" s="38"/>
      <c r="F219" s="38"/>
      <c r="G219" s="38"/>
      <c r="H219" s="38"/>
      <c r="I219" s="38"/>
      <c r="J219" s="38"/>
      <c r="K219" s="38"/>
      <c r="L219" s="38"/>
      <c r="M219" s="38"/>
      <c r="N219" s="38">
        <v>2</v>
      </c>
      <c r="O219" s="38"/>
      <c r="P219" s="38"/>
      <c r="Q219" s="38"/>
      <c r="R219" s="38"/>
      <c r="S219" s="38"/>
      <c r="T219" s="38">
        <f t="shared" si="0"/>
        <v>2</v>
      </c>
      <c r="U219" s="42" cm="1">
        <f t="array" ref="U219">SUMPRODUCT(D219:S219,VLOOKUP($D$1:$S$1,$AG$8:$AH$23,2,FALSE))</f>
        <v>48000</v>
      </c>
      <c r="V219" s="4" t="s">
        <v>160</v>
      </c>
      <c r="W219" s="4" t="s">
        <v>169</v>
      </c>
    </row>
    <row r="220" spans="1:25" ht="15" customHeight="1" x14ac:dyDescent="0.3">
      <c r="A220" s="37">
        <v>46022</v>
      </c>
      <c r="B220" s="38">
        <v>206</v>
      </c>
      <c r="C220" s="38"/>
      <c r="D220" s="38"/>
      <c r="E220" s="38"/>
      <c r="F220" s="38">
        <v>1</v>
      </c>
      <c r="G220" s="38"/>
      <c r="H220" s="38"/>
      <c r="I220" s="38"/>
      <c r="J220" s="38"/>
      <c r="K220" s="38"/>
      <c r="L220" s="38"/>
      <c r="M220" s="38"/>
      <c r="N220" s="38"/>
      <c r="O220" s="38"/>
      <c r="P220" s="38"/>
      <c r="Q220" s="38"/>
      <c r="R220" s="38"/>
      <c r="S220" s="38"/>
      <c r="T220" s="38">
        <f t="shared" si="0"/>
        <v>1</v>
      </c>
      <c r="U220" s="42">
        <v>91200</v>
      </c>
      <c r="V220" s="4" t="s">
        <v>160</v>
      </c>
      <c r="W220" s="4" t="s">
        <v>318</v>
      </c>
      <c r="X220" t="s">
        <v>187</v>
      </c>
    </row>
    <row r="221" spans="1:25" ht="15" customHeight="1" x14ac:dyDescent="0.3">
      <c r="A221" s="37">
        <v>46022</v>
      </c>
      <c r="B221" s="38">
        <v>207</v>
      </c>
      <c r="C221" s="38"/>
      <c r="D221" s="38">
        <v>1</v>
      </c>
      <c r="E221" s="38"/>
      <c r="F221" s="38"/>
      <c r="G221" s="38"/>
      <c r="H221" s="38">
        <v>1</v>
      </c>
      <c r="I221" s="38"/>
      <c r="J221" s="38"/>
      <c r="K221" s="38"/>
      <c r="L221" s="38"/>
      <c r="M221" s="38"/>
      <c r="N221" s="38"/>
      <c r="O221" s="38"/>
      <c r="P221" s="38"/>
      <c r="Q221" s="38"/>
      <c r="R221" s="38"/>
      <c r="S221" s="38"/>
      <c r="T221" s="38">
        <f t="shared" si="0"/>
        <v>2</v>
      </c>
      <c r="U221" s="42" cm="1">
        <f t="array" ref="U221">SUMPRODUCT(D221:S221,VLOOKUP($D$1:$S$1,$AG$8:$AH$23,2,FALSE))</f>
        <v>35400</v>
      </c>
      <c r="V221" s="4" t="s">
        <v>161</v>
      </c>
      <c r="W221" s="4" t="s">
        <v>318</v>
      </c>
    </row>
    <row r="222" spans="1:25" ht="15.6" x14ac:dyDescent="0.3">
      <c r="A222" s="37">
        <v>46030</v>
      </c>
      <c r="B222" s="38">
        <v>208</v>
      </c>
      <c r="C222" s="38"/>
      <c r="D222" s="38"/>
      <c r="E222" s="38"/>
      <c r="F222" s="38">
        <v>1</v>
      </c>
      <c r="G222" s="38"/>
      <c r="H222" s="38">
        <v>2</v>
      </c>
      <c r="I222" s="38"/>
      <c r="J222" s="38"/>
      <c r="K222" s="38"/>
      <c r="L222" s="38"/>
      <c r="M222" s="38"/>
      <c r="N222" s="38"/>
      <c r="O222" s="38"/>
      <c r="P222" s="38"/>
      <c r="Q222" s="38"/>
      <c r="R222" s="38"/>
      <c r="S222" s="38">
        <v>1</v>
      </c>
      <c r="T222" s="38">
        <f t="shared" si="0"/>
        <v>4</v>
      </c>
      <c r="U222" s="42">
        <v>145200</v>
      </c>
      <c r="V222" s="4" t="s">
        <v>162</v>
      </c>
      <c r="W222" s="4" t="s">
        <v>175</v>
      </c>
      <c r="X222" t="s">
        <v>379</v>
      </c>
    </row>
    <row r="223" spans="1:25" ht="15.6" x14ac:dyDescent="0.3">
      <c r="A223" s="37">
        <v>46030</v>
      </c>
      <c r="B223" s="38">
        <v>209</v>
      </c>
      <c r="C223" s="38"/>
      <c r="D223" s="38"/>
      <c r="E223" s="38">
        <v>1</v>
      </c>
      <c r="F223" s="38"/>
      <c r="G223" s="38"/>
      <c r="H223" s="38"/>
      <c r="I223" s="38"/>
      <c r="J223" s="38"/>
      <c r="K223" s="38"/>
      <c r="L223" s="38"/>
      <c r="M223" s="38"/>
      <c r="N223" s="38"/>
      <c r="O223" s="38"/>
      <c r="P223" s="38"/>
      <c r="Q223" s="38"/>
      <c r="R223" s="38"/>
      <c r="S223" s="38"/>
      <c r="T223" s="38">
        <f t="shared" si="0"/>
        <v>1</v>
      </c>
      <c r="U223" s="42">
        <v>41500</v>
      </c>
      <c r="V223" s="4" t="s">
        <v>163</v>
      </c>
      <c r="W223" s="4" t="s">
        <v>380</v>
      </c>
      <c r="X223" t="s">
        <v>187</v>
      </c>
    </row>
    <row r="224" spans="1:25" ht="15.6" x14ac:dyDescent="0.3">
      <c r="A224" s="37">
        <v>46030</v>
      </c>
      <c r="B224" s="38">
        <v>210</v>
      </c>
      <c r="C224" s="38"/>
      <c r="D224" s="38"/>
      <c r="E224" s="38"/>
      <c r="F224" s="38"/>
      <c r="G224" s="38"/>
      <c r="H224" s="38">
        <v>2</v>
      </c>
      <c r="I224" s="38"/>
      <c r="J224" s="38"/>
      <c r="K224" s="38"/>
      <c r="L224" s="38"/>
      <c r="M224" s="38"/>
      <c r="N224" s="38"/>
      <c r="O224" s="38"/>
      <c r="P224" s="38"/>
      <c r="Q224" s="38"/>
      <c r="R224" s="38"/>
      <c r="S224" s="38"/>
      <c r="T224" s="38">
        <f t="shared" si="0"/>
        <v>2</v>
      </c>
      <c r="U224" s="42" cm="1">
        <f t="array" ref="U224">SUMPRODUCT(D224:S224,VLOOKUP($D$1:$S$1,$AG$8:$AH$23,2,FALSE))</f>
        <v>20000</v>
      </c>
      <c r="V224" s="4" t="s">
        <v>162</v>
      </c>
      <c r="W224" s="4" t="s">
        <v>175</v>
      </c>
    </row>
    <row r="225" spans="1:23" ht="15.6" x14ac:dyDescent="0.3">
      <c r="A225" s="37">
        <v>46030</v>
      </c>
      <c r="B225" s="38">
        <v>211</v>
      </c>
      <c r="C225" s="38"/>
      <c r="D225" s="38"/>
      <c r="E225" s="38"/>
      <c r="F225" s="38"/>
      <c r="G225" s="38"/>
      <c r="H225" s="38"/>
      <c r="I225" s="38"/>
      <c r="J225" s="38"/>
      <c r="K225" s="38"/>
      <c r="L225" s="38"/>
      <c r="M225" s="38"/>
      <c r="N225" s="38"/>
      <c r="O225" s="38"/>
      <c r="P225" s="38"/>
      <c r="Q225" s="38"/>
      <c r="R225" s="38"/>
      <c r="S225" s="38">
        <v>1</v>
      </c>
      <c r="T225" s="38">
        <f t="shared" si="0"/>
        <v>1</v>
      </c>
      <c r="U225" s="42" cm="1">
        <f t="array" ref="U225">SUMPRODUCT(D225:S225,VLOOKUP($D$1:$S$1,$AG$8:$AH$23,2,FALSE))</f>
        <v>14000</v>
      </c>
      <c r="V225" s="4" t="s">
        <v>160</v>
      </c>
      <c r="W225" s="4" t="s">
        <v>175</v>
      </c>
    </row>
    <row r="226" spans="1:23" ht="15.6" x14ac:dyDescent="0.3">
      <c r="A226" s="37"/>
      <c r="B226" s="38"/>
      <c r="C226" s="38"/>
      <c r="D226" s="38"/>
      <c r="E226" s="38"/>
      <c r="F226" s="38"/>
      <c r="G226" s="38"/>
      <c r="H226" s="38"/>
      <c r="I226" s="38"/>
      <c r="J226" s="38"/>
      <c r="K226" s="38"/>
      <c r="L226" s="38"/>
      <c r="M226" s="38"/>
      <c r="N226" s="38"/>
      <c r="O226" s="38"/>
      <c r="P226" s="38"/>
      <c r="Q226" s="38"/>
      <c r="R226" s="38"/>
      <c r="S226" s="38"/>
      <c r="T226" s="38">
        <f t="shared" si="0"/>
        <v>0</v>
      </c>
      <c r="U226" s="42" cm="1">
        <f t="array" ref="U226">SUMPRODUCT(D226:S226,VLOOKUP($D$1:$S$1,$AG$8:$AH$23,2,FALSE))</f>
        <v>0</v>
      </c>
      <c r="V226" s="4"/>
      <c r="W226" s="4"/>
    </row>
    <row r="227" spans="1:23" ht="15.6" x14ac:dyDescent="0.3">
      <c r="A227" s="37"/>
      <c r="B227" s="38"/>
      <c r="C227" s="38"/>
      <c r="D227" s="38"/>
      <c r="E227" s="38"/>
      <c r="F227" s="38"/>
      <c r="G227" s="38"/>
      <c r="H227" s="38"/>
      <c r="I227" s="38"/>
      <c r="J227" s="38"/>
      <c r="K227" s="38"/>
      <c r="L227" s="38"/>
      <c r="M227" s="38"/>
      <c r="N227" s="38"/>
      <c r="O227" s="38"/>
      <c r="P227" s="38"/>
      <c r="Q227" s="38"/>
      <c r="R227" s="38"/>
      <c r="S227" s="38"/>
      <c r="T227" s="38">
        <f t="shared" si="0"/>
        <v>0</v>
      </c>
      <c r="U227" s="42" cm="1">
        <f t="array" ref="U227">SUMPRODUCT(D227:S227,VLOOKUP($D$1:$S$1,$AG$8:$AH$23,2,FALSE))</f>
        <v>0</v>
      </c>
      <c r="V227" s="4"/>
      <c r="W227" s="4"/>
    </row>
    <row r="228" spans="1:23" ht="15.6" x14ac:dyDescent="0.3">
      <c r="A228" s="37"/>
      <c r="B228" s="38"/>
      <c r="C228" s="38"/>
      <c r="D228" s="38"/>
      <c r="E228" s="38"/>
      <c r="F228" s="38"/>
      <c r="G228" s="38"/>
      <c r="H228" s="38"/>
      <c r="I228" s="38"/>
      <c r="J228" s="38"/>
      <c r="K228" s="38"/>
      <c r="L228" s="38"/>
      <c r="M228" s="38"/>
      <c r="N228" s="38"/>
      <c r="O228" s="38"/>
      <c r="P228" s="38"/>
      <c r="Q228" s="38"/>
      <c r="R228" s="38"/>
      <c r="S228" s="38"/>
      <c r="T228" s="38">
        <f t="shared" si="0"/>
        <v>0</v>
      </c>
      <c r="U228" s="42" cm="1">
        <f t="array" ref="U228">SUMPRODUCT(D228:S228,VLOOKUP($D$1:$S$1,$AG$8:$AH$23,2,FALSE))</f>
        <v>0</v>
      </c>
      <c r="V228" s="4"/>
      <c r="W228" s="4"/>
    </row>
    <row r="229" spans="1:23" ht="15.6" x14ac:dyDescent="0.3">
      <c r="A229" s="37"/>
      <c r="B229" s="38"/>
      <c r="C229" s="38"/>
      <c r="D229" s="38"/>
      <c r="E229" s="38"/>
      <c r="F229" s="38"/>
      <c r="G229" s="38"/>
      <c r="H229" s="38"/>
      <c r="I229" s="38"/>
      <c r="J229" s="38"/>
      <c r="K229" s="38"/>
      <c r="L229" s="38"/>
      <c r="M229" s="38"/>
      <c r="N229" s="38"/>
      <c r="O229" s="38"/>
      <c r="P229" s="38"/>
      <c r="Q229" s="38"/>
      <c r="R229" s="38"/>
      <c r="S229" s="38"/>
      <c r="T229" s="38">
        <f t="shared" si="0"/>
        <v>0</v>
      </c>
      <c r="U229" s="42" cm="1">
        <f t="array" ref="U229">SUMPRODUCT(D229:S229,VLOOKUP($D$1:$S$1,$AG$8:$AH$23,2,FALSE))</f>
        <v>0</v>
      </c>
      <c r="V229" s="4"/>
      <c r="W229" s="4"/>
    </row>
    <row r="230" spans="1:23" ht="15.6" x14ac:dyDescent="0.3">
      <c r="A230" s="37"/>
      <c r="B230" s="38"/>
      <c r="C230" s="38"/>
      <c r="D230" s="38"/>
      <c r="E230" s="38"/>
      <c r="F230" s="38"/>
      <c r="G230" s="38"/>
      <c r="H230" s="38"/>
      <c r="I230" s="38"/>
      <c r="J230" s="38"/>
      <c r="K230" s="38"/>
      <c r="L230" s="38"/>
      <c r="M230" s="38"/>
      <c r="N230" s="38"/>
      <c r="O230" s="38"/>
      <c r="P230" s="38"/>
      <c r="Q230" s="38"/>
      <c r="R230" s="38"/>
      <c r="S230" s="38"/>
      <c r="T230" s="38">
        <f t="shared" si="0"/>
        <v>0</v>
      </c>
      <c r="U230" s="42" cm="1">
        <f t="array" ref="U230">SUMPRODUCT(D230:S230,VLOOKUP($D$1:$S$1,$AG$8:$AH$23,2,FALSE))</f>
        <v>0</v>
      </c>
      <c r="V230" s="4"/>
      <c r="W230" s="4"/>
    </row>
    <row r="231" spans="1:23" ht="15.6" x14ac:dyDescent="0.3">
      <c r="A231" s="37"/>
      <c r="B231" s="38"/>
      <c r="C231" s="38"/>
      <c r="D231" s="38"/>
      <c r="E231" s="38"/>
      <c r="F231" s="38"/>
      <c r="G231" s="38"/>
      <c r="H231" s="38"/>
      <c r="I231" s="38"/>
      <c r="J231" s="38"/>
      <c r="K231" s="38"/>
      <c r="L231" s="38"/>
      <c r="M231" s="38"/>
      <c r="N231" s="38"/>
      <c r="O231" s="38"/>
      <c r="P231" s="38"/>
      <c r="Q231" s="38"/>
      <c r="R231" s="38"/>
      <c r="S231" s="38"/>
      <c r="T231" s="38">
        <f t="shared" si="0"/>
        <v>0</v>
      </c>
      <c r="U231" s="42" cm="1">
        <f t="array" ref="U231">SUMPRODUCT(D231:S231,VLOOKUP($D$1:$S$1,$AG$8:$AH$23,2,FALSE))</f>
        <v>0</v>
      </c>
      <c r="V231" s="4"/>
      <c r="W231" s="4"/>
    </row>
    <row r="232" spans="1:23" ht="15.6" x14ac:dyDescent="0.3">
      <c r="A232" s="37"/>
      <c r="B232" s="38"/>
      <c r="C232" s="38"/>
      <c r="D232" s="38"/>
      <c r="E232" s="38"/>
      <c r="F232" s="38"/>
      <c r="G232" s="38"/>
      <c r="H232" s="38"/>
      <c r="I232" s="38"/>
      <c r="J232" s="38"/>
      <c r="K232" s="38"/>
      <c r="L232" s="38"/>
      <c r="M232" s="38"/>
      <c r="N232" s="38"/>
      <c r="O232" s="38"/>
      <c r="P232" s="38"/>
      <c r="Q232" s="38"/>
      <c r="R232" s="38"/>
      <c r="S232" s="38"/>
      <c r="T232" s="38">
        <f t="shared" si="0"/>
        <v>0</v>
      </c>
      <c r="U232" s="42" cm="1">
        <f t="array" ref="U232">SUMPRODUCT(D232:S232,VLOOKUP($D$1:$S$1,$AG$8:$AH$23,2,FALSE))</f>
        <v>0</v>
      </c>
      <c r="V232" s="4"/>
      <c r="W232" s="4"/>
    </row>
    <row r="233" spans="1:23" ht="15.6" x14ac:dyDescent="0.3">
      <c r="A233" s="37"/>
      <c r="B233" s="38"/>
      <c r="C233" s="38"/>
      <c r="D233" s="38"/>
      <c r="E233" s="38"/>
      <c r="F233" s="38"/>
      <c r="G233" s="38"/>
      <c r="H233" s="38"/>
      <c r="I233" s="38"/>
      <c r="J233" s="38"/>
      <c r="K233" s="38"/>
      <c r="L233" s="38"/>
      <c r="M233" s="38"/>
      <c r="N233" s="38"/>
      <c r="O233" s="38"/>
      <c r="P233" s="38"/>
      <c r="Q233" s="38"/>
      <c r="R233" s="38"/>
      <c r="S233" s="38"/>
      <c r="T233" s="38">
        <f t="shared" si="0"/>
        <v>0</v>
      </c>
      <c r="U233" s="42" cm="1">
        <f t="array" ref="U233">SUMPRODUCT(D233:S233,VLOOKUP($D$1:$S$1,$AG$8:$AH$23,2,FALSE))</f>
        <v>0</v>
      </c>
      <c r="V233" s="4"/>
      <c r="W233" s="4"/>
    </row>
    <row r="234" spans="1:23" ht="15.6" x14ac:dyDescent="0.3">
      <c r="A234" s="37"/>
      <c r="B234" s="38"/>
      <c r="C234" s="38"/>
      <c r="D234" s="38"/>
      <c r="E234" s="38"/>
      <c r="F234" s="38"/>
      <c r="G234" s="38"/>
      <c r="H234" s="38"/>
      <c r="I234" s="38"/>
      <c r="J234" s="38"/>
      <c r="K234" s="38"/>
      <c r="L234" s="38"/>
      <c r="M234" s="38"/>
      <c r="N234" s="38"/>
      <c r="O234" s="38"/>
      <c r="P234" s="38"/>
      <c r="Q234" s="38"/>
      <c r="R234" s="38"/>
      <c r="S234" s="38"/>
      <c r="T234" s="38">
        <f t="shared" si="0"/>
        <v>0</v>
      </c>
      <c r="U234" s="42" cm="1">
        <f t="array" ref="U234">SUMPRODUCT(D234:S234,VLOOKUP($D$1:$S$1,$AG$8:$AH$23,2,FALSE))</f>
        <v>0</v>
      </c>
      <c r="V234" s="4"/>
      <c r="W234" s="4"/>
    </row>
    <row r="235" spans="1:23" ht="15.6" x14ac:dyDescent="0.3">
      <c r="A235" s="37"/>
      <c r="B235" s="38"/>
      <c r="C235" s="38"/>
      <c r="D235" s="38"/>
      <c r="E235" s="38"/>
      <c r="F235" s="38"/>
      <c r="G235" s="38"/>
      <c r="H235" s="38"/>
      <c r="I235" s="38"/>
      <c r="J235" s="38"/>
      <c r="K235" s="38"/>
      <c r="L235" s="38"/>
      <c r="M235" s="38"/>
      <c r="N235" s="38"/>
      <c r="O235" s="38"/>
      <c r="P235" s="38"/>
      <c r="Q235" s="38"/>
      <c r="R235" s="38"/>
      <c r="S235" s="38"/>
      <c r="T235" s="38">
        <f t="shared" si="0"/>
        <v>0</v>
      </c>
      <c r="U235" s="42" cm="1">
        <f t="array" ref="U235">SUMPRODUCT(D235:S235,VLOOKUP($D$1:$S$1,$AG$8:$AH$23,2,FALSE))</f>
        <v>0</v>
      </c>
      <c r="V235" s="4"/>
      <c r="W235" s="4"/>
    </row>
    <row r="236" spans="1:23" ht="15.6" x14ac:dyDescent="0.3">
      <c r="A236" s="37"/>
      <c r="B236" s="38"/>
      <c r="C236" s="38"/>
      <c r="D236" s="38"/>
      <c r="E236" s="38"/>
      <c r="F236" s="38"/>
      <c r="G236" s="38"/>
      <c r="H236" s="38"/>
      <c r="I236" s="38"/>
      <c r="J236" s="38"/>
      <c r="K236" s="38"/>
      <c r="L236" s="38"/>
      <c r="M236" s="38"/>
      <c r="N236" s="38"/>
      <c r="O236" s="38"/>
      <c r="P236" s="38"/>
      <c r="Q236" s="38"/>
      <c r="R236" s="38"/>
      <c r="S236" s="38"/>
      <c r="T236" s="38">
        <f t="shared" si="0"/>
        <v>0</v>
      </c>
      <c r="U236" s="42" cm="1">
        <f t="array" ref="U236">SUMPRODUCT(D236:S236,VLOOKUP($D$1:$S$1,$AG$8:$AH$23,2,FALSE))</f>
        <v>0</v>
      </c>
      <c r="V236" s="4"/>
      <c r="W236" s="4"/>
    </row>
    <row r="237" spans="1:23" ht="15.6" x14ac:dyDescent="0.3">
      <c r="A237" s="37"/>
      <c r="B237" s="38"/>
      <c r="C237" s="38"/>
      <c r="D237" s="38"/>
      <c r="E237" s="38"/>
      <c r="F237" s="38"/>
      <c r="G237" s="38"/>
      <c r="H237" s="38"/>
      <c r="I237" s="38"/>
      <c r="J237" s="38"/>
      <c r="K237" s="38"/>
      <c r="L237" s="38"/>
      <c r="M237" s="38"/>
      <c r="N237" s="38"/>
      <c r="O237" s="38"/>
      <c r="P237" s="38"/>
      <c r="Q237" s="38"/>
      <c r="R237" s="38"/>
      <c r="S237" s="38"/>
      <c r="T237" s="38">
        <f t="shared" si="0"/>
        <v>0</v>
      </c>
      <c r="U237" s="42" cm="1">
        <f t="array" ref="U237">SUMPRODUCT(D237:S237,VLOOKUP($D$1:$S$1,$AG$8:$AH$23,2,FALSE))</f>
        <v>0</v>
      </c>
      <c r="V237" s="4"/>
      <c r="W237" s="4"/>
    </row>
    <row r="238" spans="1:23" ht="15.6" x14ac:dyDescent="0.3">
      <c r="A238" s="37"/>
      <c r="B238" s="38"/>
      <c r="C238" s="38"/>
      <c r="D238" s="38"/>
      <c r="E238" s="38"/>
      <c r="F238" s="38"/>
      <c r="G238" s="38"/>
      <c r="H238" s="38"/>
      <c r="I238" s="38"/>
      <c r="J238" s="38"/>
      <c r="K238" s="38"/>
      <c r="L238" s="38"/>
      <c r="M238" s="38"/>
      <c r="N238" s="38"/>
      <c r="O238" s="38"/>
      <c r="P238" s="38"/>
      <c r="Q238" s="38"/>
      <c r="R238" s="38"/>
      <c r="S238" s="38"/>
      <c r="T238" s="38">
        <f t="shared" si="0"/>
        <v>0</v>
      </c>
      <c r="U238" s="42" cm="1">
        <f t="array" ref="U238">SUMPRODUCT(D238:S238,VLOOKUP($D$1:$S$1,$AG$8:$AH$23,2,FALSE))</f>
        <v>0</v>
      </c>
      <c r="V238" s="4"/>
      <c r="W238" s="4"/>
    </row>
    <row r="239" spans="1:23" ht="15.6" x14ac:dyDescent="0.3">
      <c r="A239" s="37"/>
      <c r="B239" s="38"/>
      <c r="C239" s="38"/>
      <c r="D239" s="38"/>
      <c r="E239" s="38"/>
      <c r="F239" s="38"/>
      <c r="G239" s="38"/>
      <c r="H239" s="38"/>
      <c r="I239" s="38"/>
      <c r="J239" s="38"/>
      <c r="K239" s="38"/>
      <c r="L239" s="38"/>
      <c r="M239" s="38"/>
      <c r="N239" s="38"/>
      <c r="O239" s="38"/>
      <c r="P239" s="38"/>
      <c r="Q239" s="38"/>
      <c r="R239" s="38"/>
      <c r="S239" s="38"/>
      <c r="T239" s="38">
        <f t="shared" si="0"/>
        <v>0</v>
      </c>
      <c r="U239" s="42" cm="1">
        <f t="array" ref="U239">SUMPRODUCT(D239:S239,VLOOKUP($D$1:$S$1,$AG$8:$AH$23,2,FALSE))</f>
        <v>0</v>
      </c>
      <c r="V239" s="4"/>
      <c r="W239" s="4"/>
    </row>
    <row r="240" spans="1:23" ht="15.6" x14ac:dyDescent="0.3">
      <c r="A240" s="37"/>
      <c r="B240" s="38"/>
      <c r="C240" s="38"/>
      <c r="D240" s="38"/>
      <c r="E240" s="38"/>
      <c r="F240" s="38"/>
      <c r="G240" s="38"/>
      <c r="H240" s="38"/>
      <c r="I240" s="38"/>
      <c r="J240" s="38"/>
      <c r="K240" s="38"/>
      <c r="L240" s="38"/>
      <c r="M240" s="38"/>
      <c r="N240" s="38"/>
      <c r="O240" s="38"/>
      <c r="P240" s="38"/>
      <c r="Q240" s="38"/>
      <c r="R240" s="38"/>
      <c r="S240" s="38"/>
      <c r="T240" s="38">
        <f t="shared" si="0"/>
        <v>0</v>
      </c>
      <c r="U240" s="42" cm="1">
        <f t="array" ref="U240">SUMPRODUCT(D240:S240,VLOOKUP($D$1:$S$1,$AG$8:$AH$23,2,FALSE))</f>
        <v>0</v>
      </c>
      <c r="V240" s="4"/>
      <c r="W240" s="4"/>
    </row>
    <row r="241" spans="1:23" ht="15.6" x14ac:dyDescent="0.3">
      <c r="A241" s="37"/>
      <c r="B241" s="38"/>
      <c r="C241" s="38"/>
      <c r="D241" s="38"/>
      <c r="E241" s="38"/>
      <c r="F241" s="38"/>
      <c r="G241" s="38"/>
      <c r="H241" s="38"/>
      <c r="I241" s="38"/>
      <c r="J241" s="38"/>
      <c r="K241" s="38"/>
      <c r="L241" s="38"/>
      <c r="M241" s="38"/>
      <c r="N241" s="38"/>
      <c r="O241" s="38"/>
      <c r="P241" s="38"/>
      <c r="Q241" s="38"/>
      <c r="R241" s="38"/>
      <c r="S241" s="38"/>
      <c r="T241" s="38">
        <f t="shared" si="0"/>
        <v>0</v>
      </c>
      <c r="U241" s="42" cm="1">
        <f t="array" ref="U241">SUMPRODUCT(D241:S241,VLOOKUP($D$1:$S$1,$AG$8:$AH$23,2,FALSE))</f>
        <v>0</v>
      </c>
      <c r="V241" s="4"/>
      <c r="W241" s="4"/>
    </row>
    <row r="242" spans="1:23" ht="15.6" x14ac:dyDescent="0.3">
      <c r="A242" s="37"/>
      <c r="B242" s="38"/>
      <c r="C242" s="38"/>
      <c r="D242" s="38"/>
      <c r="E242" s="38"/>
      <c r="F242" s="38"/>
      <c r="G242" s="38"/>
      <c r="H242" s="38"/>
      <c r="I242" s="38"/>
      <c r="J242" s="38"/>
      <c r="K242" s="38"/>
      <c r="L242" s="38"/>
      <c r="M242" s="38"/>
      <c r="N242" s="38"/>
      <c r="O242" s="38"/>
      <c r="P242" s="38"/>
      <c r="Q242" s="38"/>
      <c r="R242" s="38"/>
      <c r="S242" s="38"/>
      <c r="T242" s="38">
        <f t="shared" si="0"/>
        <v>0</v>
      </c>
      <c r="U242" s="42" cm="1">
        <f t="array" ref="U242">SUMPRODUCT(D242:S242,VLOOKUP($D$1:$S$1,$AG$8:$AH$23,2,FALSE))</f>
        <v>0</v>
      </c>
      <c r="V242" s="4"/>
      <c r="W242" s="4"/>
    </row>
    <row r="243" spans="1:23" ht="15.6" x14ac:dyDescent="0.3">
      <c r="A243" s="37"/>
      <c r="B243" s="38"/>
      <c r="C243" s="38"/>
      <c r="D243" s="38"/>
      <c r="E243" s="38"/>
      <c r="F243" s="38"/>
      <c r="G243" s="38"/>
      <c r="H243" s="38"/>
      <c r="I243" s="38"/>
      <c r="J243" s="38"/>
      <c r="K243" s="38"/>
      <c r="L243" s="38"/>
      <c r="M243" s="38"/>
      <c r="N243" s="38"/>
      <c r="O243" s="38"/>
      <c r="P243" s="38"/>
      <c r="Q243" s="38"/>
      <c r="R243" s="38"/>
      <c r="S243" s="38"/>
      <c r="T243" s="38">
        <f t="shared" si="0"/>
        <v>0</v>
      </c>
      <c r="U243" s="42" cm="1">
        <f t="array" ref="U243">SUMPRODUCT(D243:S243,VLOOKUP($D$1:$S$1,$AG$8:$AH$23,2,FALSE))</f>
        <v>0</v>
      </c>
      <c r="V243" s="4"/>
      <c r="W243" s="4"/>
    </row>
    <row r="244" spans="1:23" ht="15.6" x14ac:dyDescent="0.3">
      <c r="A244" s="37"/>
      <c r="B244" s="38"/>
      <c r="C244" s="38"/>
      <c r="D244" s="38"/>
      <c r="E244" s="38"/>
      <c r="F244" s="38"/>
      <c r="G244" s="38"/>
      <c r="H244" s="38"/>
      <c r="I244" s="38"/>
      <c r="J244" s="38"/>
      <c r="K244" s="38"/>
      <c r="L244" s="38"/>
      <c r="M244" s="38"/>
      <c r="N244" s="38"/>
      <c r="O244" s="38"/>
      <c r="P244" s="38"/>
      <c r="Q244" s="38"/>
      <c r="R244" s="38"/>
      <c r="S244" s="38"/>
      <c r="T244" s="38">
        <f t="shared" si="0"/>
        <v>0</v>
      </c>
      <c r="U244" s="42" cm="1">
        <f t="array" ref="U244">SUMPRODUCT(D244:S244,VLOOKUP($D$1:$S$1,$AG$8:$AH$23,2,FALSE))</f>
        <v>0</v>
      </c>
      <c r="V244" s="4"/>
      <c r="W244" s="4"/>
    </row>
    <row r="245" spans="1:23" ht="15.6" x14ac:dyDescent="0.3">
      <c r="A245" s="37"/>
      <c r="B245" s="38"/>
      <c r="C245" s="38"/>
      <c r="D245" s="38"/>
      <c r="E245" s="38"/>
      <c r="F245" s="38"/>
      <c r="G245" s="38"/>
      <c r="H245" s="38"/>
      <c r="I245" s="38"/>
      <c r="J245" s="38"/>
      <c r="K245" s="38"/>
      <c r="L245" s="38"/>
      <c r="M245" s="38"/>
      <c r="N245" s="38"/>
      <c r="O245" s="38"/>
      <c r="P245" s="38"/>
      <c r="Q245" s="38"/>
      <c r="R245" s="38"/>
      <c r="S245" s="38"/>
      <c r="T245" s="38">
        <f t="shared" si="0"/>
        <v>0</v>
      </c>
      <c r="U245" s="42" cm="1">
        <f t="array" ref="U245">SUMPRODUCT(D245:S245,VLOOKUP($D$1:$S$1,$AG$8:$AH$23,2,FALSE))</f>
        <v>0</v>
      </c>
      <c r="V245" s="4"/>
      <c r="W245" s="4"/>
    </row>
    <row r="246" spans="1:23" ht="15.6" x14ac:dyDescent="0.3">
      <c r="A246" s="37"/>
      <c r="B246" s="38"/>
      <c r="C246" s="38"/>
      <c r="D246" s="38"/>
      <c r="E246" s="38"/>
      <c r="F246" s="38"/>
      <c r="G246" s="38"/>
      <c r="H246" s="38"/>
      <c r="I246" s="38"/>
      <c r="J246" s="38"/>
      <c r="K246" s="38"/>
      <c r="L246" s="38"/>
      <c r="M246" s="38"/>
      <c r="N246" s="38"/>
      <c r="O246" s="38"/>
      <c r="P246" s="38"/>
      <c r="Q246" s="38"/>
      <c r="R246" s="38"/>
      <c r="S246" s="38"/>
      <c r="T246" s="38">
        <f t="shared" si="0"/>
        <v>0</v>
      </c>
      <c r="U246" s="42" cm="1">
        <f t="array" ref="U246">SUMPRODUCT(D246:S246,VLOOKUP($D$1:$S$1,$AG$8:$AH$23,2,FALSE))</f>
        <v>0</v>
      </c>
      <c r="V246" s="4"/>
      <c r="W246" s="4"/>
    </row>
    <row r="247" spans="1:23" ht="15.6" x14ac:dyDescent="0.3">
      <c r="A247" s="37"/>
      <c r="B247" s="38"/>
      <c r="C247" s="38"/>
      <c r="D247" s="38"/>
      <c r="E247" s="38"/>
      <c r="F247" s="38"/>
      <c r="G247" s="38"/>
      <c r="H247" s="38"/>
      <c r="I247" s="38"/>
      <c r="J247" s="38"/>
      <c r="K247" s="38"/>
      <c r="L247" s="38"/>
      <c r="M247" s="38"/>
      <c r="N247" s="38"/>
      <c r="O247" s="38"/>
      <c r="P247" s="38"/>
      <c r="Q247" s="38"/>
      <c r="R247" s="38"/>
      <c r="S247" s="38"/>
      <c r="T247" s="38">
        <f t="shared" si="0"/>
        <v>0</v>
      </c>
      <c r="U247" s="42" cm="1">
        <f t="array" ref="U247">SUMPRODUCT(D247:S247,VLOOKUP($D$1:$S$1,$AG$8:$AH$23,2,FALSE))</f>
        <v>0</v>
      </c>
      <c r="V247" s="4"/>
      <c r="W247" s="4"/>
    </row>
    <row r="248" spans="1:23" ht="15.6" x14ac:dyDescent="0.3">
      <c r="A248" s="37"/>
      <c r="B248" s="38"/>
      <c r="C248" s="38"/>
      <c r="D248" s="38"/>
      <c r="E248" s="38"/>
      <c r="F248" s="38"/>
      <c r="G248" s="38"/>
      <c r="H248" s="38"/>
      <c r="I248" s="38"/>
      <c r="J248" s="38"/>
      <c r="K248" s="38"/>
      <c r="L248" s="38"/>
      <c r="M248" s="38"/>
      <c r="N248" s="38"/>
      <c r="O248" s="38"/>
      <c r="P248" s="38"/>
      <c r="Q248" s="38"/>
      <c r="R248" s="38"/>
      <c r="S248" s="38"/>
      <c r="T248" s="38">
        <f t="shared" si="0"/>
        <v>0</v>
      </c>
      <c r="U248" s="42" cm="1">
        <f t="array" ref="U248">SUMPRODUCT(D248:S248,VLOOKUP($D$1:$S$1,$AG$8:$AH$23,2,FALSE))</f>
        <v>0</v>
      </c>
      <c r="V248" s="4"/>
      <c r="W248" s="4"/>
    </row>
    <row r="249" spans="1:23" ht="15.6" x14ac:dyDescent="0.3">
      <c r="A249" s="37"/>
      <c r="B249" s="38"/>
      <c r="C249" s="38"/>
      <c r="D249" s="38"/>
      <c r="E249" s="38"/>
      <c r="F249" s="38"/>
      <c r="G249" s="38"/>
      <c r="H249" s="38"/>
      <c r="I249" s="38"/>
      <c r="J249" s="38"/>
      <c r="K249" s="38"/>
      <c r="L249" s="38"/>
      <c r="M249" s="38"/>
      <c r="N249" s="38"/>
      <c r="O249" s="38"/>
      <c r="P249" s="38"/>
      <c r="Q249" s="38"/>
      <c r="R249" s="38"/>
      <c r="S249" s="38"/>
      <c r="T249" s="38">
        <f t="shared" si="0"/>
        <v>0</v>
      </c>
      <c r="U249" s="42" cm="1">
        <f t="array" ref="U249">SUMPRODUCT(D249:S249,VLOOKUP($D$1:$S$1,$AG$8:$AH$23,2,FALSE))</f>
        <v>0</v>
      </c>
      <c r="V249" s="4"/>
      <c r="W249" s="4"/>
    </row>
    <row r="250" spans="1:23" ht="15.6" x14ac:dyDescent="0.3">
      <c r="A250" s="37"/>
      <c r="B250" s="38"/>
      <c r="C250" s="38"/>
      <c r="D250" s="38"/>
      <c r="E250" s="38"/>
      <c r="F250" s="38"/>
      <c r="G250" s="38"/>
      <c r="H250" s="38"/>
      <c r="I250" s="38"/>
      <c r="J250" s="38"/>
      <c r="K250" s="38"/>
      <c r="L250" s="38"/>
      <c r="M250" s="38"/>
      <c r="N250" s="38"/>
      <c r="O250" s="38"/>
      <c r="P250" s="38"/>
      <c r="Q250" s="38"/>
      <c r="R250" s="38"/>
      <c r="S250" s="38"/>
      <c r="T250" s="38">
        <f t="shared" si="0"/>
        <v>0</v>
      </c>
      <c r="U250" s="42" cm="1">
        <f t="array" ref="U250">SUMPRODUCT(D250:S250,VLOOKUP($D$1:$S$1,$AG$8:$AH$23,2,FALSE))</f>
        <v>0</v>
      </c>
      <c r="V250" s="4"/>
      <c r="W250" s="4"/>
    </row>
    <row r="251" spans="1:23" ht="15.6" x14ac:dyDescent="0.3">
      <c r="A251" s="50"/>
      <c r="B251" s="51"/>
      <c r="C251" s="51"/>
      <c r="D251" s="51"/>
      <c r="E251" s="51"/>
      <c r="F251" s="51"/>
      <c r="G251" s="51"/>
      <c r="H251" s="51"/>
      <c r="I251" s="51"/>
      <c r="J251" s="51"/>
      <c r="K251" s="51"/>
      <c r="L251" s="51"/>
      <c r="M251" s="51"/>
      <c r="N251" s="51"/>
      <c r="O251" s="51"/>
      <c r="P251" s="51"/>
      <c r="Q251" s="51"/>
      <c r="R251" s="51"/>
      <c r="S251" s="51"/>
      <c r="T251" s="51">
        <f t="shared" si="0"/>
        <v>0</v>
      </c>
      <c r="U251" s="52" cm="1">
        <f t="array" ref="U251">SUMPRODUCT(D251:S251,VLOOKUP($D$1:$S$1,$AG$8:$AH$23,2,FALSE))</f>
        <v>0</v>
      </c>
      <c r="V251" s="4"/>
      <c r="W251" s="4"/>
    </row>
    <row r="252" spans="1:23" ht="15.6" x14ac:dyDescent="0.3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</row>
    <row r="253" spans="1:23" ht="15.6" x14ac:dyDescent="0.3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</row>
    <row r="254" spans="1:23" ht="15.6" x14ac:dyDescent="0.3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</row>
    <row r="255" spans="1:23" ht="15.6" x14ac:dyDescent="0.3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</row>
    <row r="256" spans="1:23" ht="15.6" x14ac:dyDescent="0.3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</row>
    <row r="257" spans="1:21" ht="15.6" x14ac:dyDescent="0.3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</row>
    <row r="258" spans="1:21" ht="15.6" x14ac:dyDescent="0.3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</row>
    <row r="259" spans="1:21" ht="15.6" x14ac:dyDescent="0.3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</row>
    <row r="260" spans="1:21" ht="15.6" x14ac:dyDescent="0.3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</row>
    <row r="261" spans="1:21" ht="15.6" x14ac:dyDescent="0.3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</row>
    <row r="262" spans="1:21" ht="15.6" x14ac:dyDescent="0.3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</row>
    <row r="263" spans="1:21" ht="15.6" x14ac:dyDescent="0.3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</row>
    <row r="264" spans="1:21" ht="15.6" x14ac:dyDescent="0.3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</row>
    <row r="265" spans="1:21" ht="15.6" x14ac:dyDescent="0.3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</row>
    <row r="266" spans="1:21" ht="15.6" x14ac:dyDescent="0.3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</row>
    <row r="267" spans="1:21" ht="15.6" x14ac:dyDescent="0.3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</row>
    <row r="268" spans="1:21" ht="15.6" x14ac:dyDescent="0.3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</row>
    <row r="269" spans="1:21" ht="15.6" x14ac:dyDescent="0.3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</row>
    <row r="270" spans="1:21" ht="15.6" x14ac:dyDescent="0.3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</row>
    <row r="271" spans="1:21" ht="15.6" x14ac:dyDescent="0.3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</row>
    <row r="272" spans="1:21" ht="15.6" x14ac:dyDescent="0.3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</row>
    <row r="273" spans="1:21" ht="15.6" x14ac:dyDescent="0.3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</row>
    <row r="274" spans="1:21" ht="15.6" x14ac:dyDescent="0.3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</row>
    <row r="275" spans="1:21" ht="15.6" x14ac:dyDescent="0.3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</row>
    <row r="276" spans="1:21" ht="15.6" x14ac:dyDescent="0.3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</row>
    <row r="277" spans="1:21" ht="15.6" x14ac:dyDescent="0.3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</row>
    <row r="278" spans="1:21" ht="15.6" x14ac:dyDescent="0.3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</row>
    <row r="279" spans="1:21" ht="15.6" x14ac:dyDescent="0.3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</row>
    <row r="280" spans="1:21" ht="15.6" x14ac:dyDescent="0.3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</row>
    <row r="281" spans="1:21" ht="15.6" x14ac:dyDescent="0.3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</row>
    <row r="282" spans="1:21" ht="15.6" x14ac:dyDescent="0.3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</row>
    <row r="283" spans="1:21" ht="15.6" x14ac:dyDescent="0.3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</row>
    <row r="284" spans="1:21" ht="15.6" x14ac:dyDescent="0.3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</row>
    <row r="285" spans="1:21" ht="15.6" x14ac:dyDescent="0.3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</row>
    <row r="286" spans="1:21" ht="15.6" x14ac:dyDescent="0.3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</row>
    <row r="287" spans="1:21" ht="15.6" x14ac:dyDescent="0.3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</row>
    <row r="288" spans="1:21" ht="15.6" x14ac:dyDescent="0.3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</row>
    <row r="289" spans="1:21" ht="15.6" x14ac:dyDescent="0.3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</row>
    <row r="290" spans="1:21" ht="15.6" x14ac:dyDescent="0.3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</row>
    <row r="291" spans="1:21" ht="15.6" x14ac:dyDescent="0.3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</row>
    <row r="292" spans="1:21" ht="15.6" x14ac:dyDescent="0.3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</row>
    <row r="293" spans="1:21" ht="15.6" x14ac:dyDescent="0.3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</row>
    <row r="294" spans="1:21" ht="15.6" x14ac:dyDescent="0.3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</row>
    <row r="295" spans="1:21" ht="15.6" x14ac:dyDescent="0.3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</row>
    <row r="296" spans="1:21" ht="15.6" x14ac:dyDescent="0.3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</row>
    <row r="297" spans="1:21" ht="15.6" x14ac:dyDescent="0.3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</row>
    <row r="298" spans="1:21" ht="15.6" x14ac:dyDescent="0.3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</row>
    <row r="299" spans="1:21" ht="15.6" x14ac:dyDescent="0.3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</row>
    <row r="300" spans="1:21" ht="15.6" x14ac:dyDescent="0.3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</row>
    <row r="301" spans="1:21" ht="15.6" x14ac:dyDescent="0.3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</row>
    <row r="302" spans="1:21" ht="15.6" x14ac:dyDescent="0.3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</row>
    <row r="303" spans="1:21" ht="15.6" x14ac:dyDescent="0.3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</row>
    <row r="304" spans="1:21" ht="15.6" x14ac:dyDescent="0.3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</row>
    <row r="305" spans="1:21" ht="15.6" x14ac:dyDescent="0.3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</row>
    <row r="306" spans="1:21" ht="15.6" x14ac:dyDescent="0.3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</row>
    <row r="307" spans="1:21" ht="15.6" x14ac:dyDescent="0.3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</row>
    <row r="308" spans="1:21" ht="15.6" x14ac:dyDescent="0.3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</row>
    <row r="309" spans="1:21" ht="15.6" x14ac:dyDescent="0.3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</row>
    <row r="310" spans="1:21" ht="15.6" x14ac:dyDescent="0.3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</row>
    <row r="311" spans="1:21" ht="15.6" x14ac:dyDescent="0.3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</row>
    <row r="312" spans="1:21" ht="15.6" x14ac:dyDescent="0.3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</row>
    <row r="313" spans="1:21" ht="15.6" x14ac:dyDescent="0.3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</row>
    <row r="314" spans="1:21" ht="15.6" x14ac:dyDescent="0.3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</row>
    <row r="315" spans="1:21" ht="15.6" x14ac:dyDescent="0.3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</row>
    <row r="316" spans="1:21" ht="15.6" x14ac:dyDescent="0.3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</row>
    <row r="317" spans="1:21" ht="15.6" x14ac:dyDescent="0.3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</row>
    <row r="318" spans="1:21" ht="15.6" x14ac:dyDescent="0.3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</row>
    <row r="319" spans="1:21" ht="15.6" x14ac:dyDescent="0.3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</row>
    <row r="320" spans="1:21" ht="15.6" x14ac:dyDescent="0.3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</row>
    <row r="321" spans="1:21" ht="15.6" x14ac:dyDescent="0.3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</row>
    <row r="322" spans="1:21" ht="15.6" x14ac:dyDescent="0.3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</row>
    <row r="323" spans="1:21" ht="15.6" x14ac:dyDescent="0.3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</row>
    <row r="324" spans="1:21" ht="15.6" x14ac:dyDescent="0.3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</row>
    <row r="325" spans="1:21" ht="15.6" x14ac:dyDescent="0.3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</row>
    <row r="326" spans="1:21" ht="15.6" x14ac:dyDescent="0.3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</row>
    <row r="327" spans="1:21" ht="15.6" x14ac:dyDescent="0.3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</row>
    <row r="328" spans="1:21" ht="15.6" x14ac:dyDescent="0.3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</row>
    <row r="329" spans="1:21" ht="15.6" x14ac:dyDescent="0.3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</row>
    <row r="330" spans="1:21" ht="15.6" x14ac:dyDescent="0.3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</row>
    <row r="331" spans="1:21" ht="15.6" x14ac:dyDescent="0.3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</row>
    <row r="332" spans="1:21" ht="15.6" x14ac:dyDescent="0.3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</row>
    <row r="333" spans="1:21" ht="15.6" x14ac:dyDescent="0.3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</row>
    <row r="334" spans="1:21" ht="15.6" x14ac:dyDescent="0.3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</row>
    <row r="335" spans="1:21" ht="15.6" x14ac:dyDescent="0.3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</row>
    <row r="336" spans="1:21" ht="15.6" x14ac:dyDescent="0.3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</row>
    <row r="337" spans="1:21" ht="15.6" x14ac:dyDescent="0.3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</row>
    <row r="338" spans="1:21" ht="15.6" x14ac:dyDescent="0.3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</row>
    <row r="339" spans="1:21" ht="15.6" x14ac:dyDescent="0.3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</row>
    <row r="340" spans="1:21" ht="15.6" x14ac:dyDescent="0.3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</row>
    <row r="341" spans="1:21" ht="15.6" x14ac:dyDescent="0.3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</row>
    <row r="342" spans="1:21" ht="15.6" x14ac:dyDescent="0.3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</row>
    <row r="343" spans="1:21" ht="15.6" x14ac:dyDescent="0.3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</row>
    <row r="344" spans="1:21" ht="15.6" x14ac:dyDescent="0.3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</row>
    <row r="345" spans="1:21" ht="15.6" x14ac:dyDescent="0.3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</row>
    <row r="346" spans="1:21" ht="15.6" x14ac:dyDescent="0.3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</row>
    <row r="347" spans="1:21" ht="15.6" x14ac:dyDescent="0.3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</row>
    <row r="348" spans="1:21" ht="15.6" x14ac:dyDescent="0.3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</row>
    <row r="349" spans="1:21" ht="15.6" x14ac:dyDescent="0.3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</row>
    <row r="350" spans="1:21" ht="15.6" x14ac:dyDescent="0.3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</row>
    <row r="351" spans="1:21" ht="15.6" x14ac:dyDescent="0.3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</row>
    <row r="352" spans="1:21" ht="15.6" x14ac:dyDescent="0.3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</row>
    <row r="353" spans="1:21" ht="15.6" x14ac:dyDescent="0.3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</row>
    <row r="354" spans="1:21" ht="15.6" x14ac:dyDescent="0.3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</row>
    <row r="355" spans="1:21" ht="15.6" x14ac:dyDescent="0.3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</row>
    <row r="356" spans="1:21" ht="15.6" x14ac:dyDescent="0.3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</row>
    <row r="357" spans="1:21" ht="15.6" x14ac:dyDescent="0.3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</row>
    <row r="358" spans="1:21" ht="15.6" x14ac:dyDescent="0.3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</row>
    <row r="359" spans="1:21" ht="15.6" x14ac:dyDescent="0.3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</row>
    <row r="360" spans="1:21" ht="15.6" x14ac:dyDescent="0.3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</row>
    <row r="361" spans="1:21" ht="15.6" x14ac:dyDescent="0.3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</row>
    <row r="362" spans="1:21" ht="15.6" x14ac:dyDescent="0.3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</row>
    <row r="363" spans="1:21" ht="15.6" x14ac:dyDescent="0.3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</row>
    <row r="364" spans="1:21" ht="15.6" x14ac:dyDescent="0.3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</row>
    <row r="365" spans="1:21" ht="15.6" x14ac:dyDescent="0.3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</row>
    <row r="366" spans="1:21" ht="15.6" x14ac:dyDescent="0.3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</row>
    <row r="367" spans="1:21" ht="15.6" x14ac:dyDescent="0.3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</row>
    <row r="368" spans="1:21" ht="15.6" x14ac:dyDescent="0.3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</row>
    <row r="369" spans="1:21" ht="15.6" x14ac:dyDescent="0.3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</row>
    <row r="370" spans="1:21" ht="15.6" x14ac:dyDescent="0.3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</row>
    <row r="371" spans="1:21" ht="15.6" x14ac:dyDescent="0.3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</row>
    <row r="372" spans="1:21" ht="15.6" x14ac:dyDescent="0.3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</row>
    <row r="373" spans="1:21" ht="15.6" x14ac:dyDescent="0.3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</row>
    <row r="374" spans="1:21" ht="15.6" x14ac:dyDescent="0.3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</row>
    <row r="375" spans="1:21" ht="15.6" x14ac:dyDescent="0.3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</row>
    <row r="376" spans="1:21" ht="15.6" x14ac:dyDescent="0.3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</row>
    <row r="377" spans="1:21" ht="15.6" x14ac:dyDescent="0.3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</row>
    <row r="378" spans="1:21" ht="15.6" x14ac:dyDescent="0.3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</row>
    <row r="379" spans="1:21" ht="15.6" x14ac:dyDescent="0.3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</row>
    <row r="380" spans="1:21" ht="15.6" x14ac:dyDescent="0.3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</row>
    <row r="381" spans="1:21" ht="15.6" x14ac:dyDescent="0.3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</row>
    <row r="382" spans="1:21" ht="15.6" x14ac:dyDescent="0.3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</row>
    <row r="383" spans="1:21" ht="15.6" x14ac:dyDescent="0.3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</row>
    <row r="384" spans="1:21" ht="15.6" x14ac:dyDescent="0.3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</row>
    <row r="385" spans="1:21" ht="15.6" x14ac:dyDescent="0.3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</row>
    <row r="386" spans="1:21" ht="15.6" x14ac:dyDescent="0.3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</row>
    <row r="387" spans="1:21" ht="15.6" x14ac:dyDescent="0.3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</row>
    <row r="388" spans="1:21" ht="15.6" x14ac:dyDescent="0.3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</row>
    <row r="389" spans="1:21" ht="15.6" x14ac:dyDescent="0.3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</row>
    <row r="390" spans="1:21" ht="15.6" x14ac:dyDescent="0.3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</row>
    <row r="391" spans="1:21" ht="15.6" x14ac:dyDescent="0.3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</row>
    <row r="392" spans="1:21" ht="15.6" x14ac:dyDescent="0.3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</row>
    <row r="393" spans="1:21" ht="15.6" x14ac:dyDescent="0.3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</row>
    <row r="394" spans="1:21" ht="15.6" x14ac:dyDescent="0.3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</row>
    <row r="395" spans="1:21" ht="15.6" x14ac:dyDescent="0.3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</row>
    <row r="396" spans="1:21" ht="15.6" x14ac:dyDescent="0.3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</row>
    <row r="397" spans="1:21" ht="15.6" x14ac:dyDescent="0.3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</row>
    <row r="398" spans="1:21" ht="15.6" x14ac:dyDescent="0.3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</row>
    <row r="399" spans="1:21" ht="15.6" x14ac:dyDescent="0.3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</row>
    <row r="400" spans="1:21" ht="15.6" x14ac:dyDescent="0.3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</row>
    <row r="401" spans="1:21" ht="15.6" x14ac:dyDescent="0.3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</row>
    <row r="402" spans="1:21" ht="15.6" x14ac:dyDescent="0.3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</row>
    <row r="403" spans="1:21" ht="15.6" x14ac:dyDescent="0.3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</row>
    <row r="404" spans="1:21" ht="15.6" x14ac:dyDescent="0.3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</row>
    <row r="405" spans="1:21" ht="15.6" x14ac:dyDescent="0.3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</row>
    <row r="406" spans="1:21" ht="15.6" x14ac:dyDescent="0.3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</row>
    <row r="407" spans="1:21" ht="15.6" x14ac:dyDescent="0.3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</row>
    <row r="408" spans="1:21" ht="15.6" x14ac:dyDescent="0.3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</row>
    <row r="409" spans="1:21" ht="15.6" x14ac:dyDescent="0.3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</row>
    <row r="410" spans="1:21" ht="15.6" x14ac:dyDescent="0.3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</row>
    <row r="411" spans="1:21" ht="15.6" x14ac:dyDescent="0.3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</row>
    <row r="412" spans="1:21" ht="15.6" x14ac:dyDescent="0.3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</row>
    <row r="413" spans="1:21" ht="15.6" x14ac:dyDescent="0.3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</row>
    <row r="414" spans="1:21" ht="15.6" x14ac:dyDescent="0.3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</row>
    <row r="415" spans="1:21" ht="15.6" x14ac:dyDescent="0.3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</row>
    <row r="416" spans="1:21" ht="15.6" x14ac:dyDescent="0.3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</row>
    <row r="417" spans="1:21" ht="15.6" x14ac:dyDescent="0.3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</row>
    <row r="418" spans="1:21" ht="15.6" x14ac:dyDescent="0.3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</row>
    <row r="419" spans="1:21" ht="15.6" x14ac:dyDescent="0.3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</row>
    <row r="420" spans="1:21" ht="15.6" x14ac:dyDescent="0.3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</row>
    <row r="421" spans="1:21" ht="15.6" x14ac:dyDescent="0.3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</row>
    <row r="422" spans="1:21" ht="15.6" x14ac:dyDescent="0.3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</row>
    <row r="423" spans="1:21" ht="15.6" x14ac:dyDescent="0.3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</row>
    <row r="424" spans="1:21" ht="15.6" x14ac:dyDescent="0.3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</row>
    <row r="425" spans="1:21" ht="15.6" x14ac:dyDescent="0.3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</row>
    <row r="426" spans="1:21" ht="15.6" x14ac:dyDescent="0.3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</row>
    <row r="427" spans="1:21" ht="15.6" x14ac:dyDescent="0.3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</row>
    <row r="428" spans="1:21" ht="15.6" x14ac:dyDescent="0.3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</row>
    <row r="429" spans="1:21" ht="15.6" x14ac:dyDescent="0.3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</row>
    <row r="430" spans="1:21" ht="15.6" x14ac:dyDescent="0.3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</row>
    <row r="431" spans="1:21" ht="15.6" x14ac:dyDescent="0.3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</row>
    <row r="432" spans="1:21" ht="15.6" x14ac:dyDescent="0.3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</row>
    <row r="433" spans="1:21" ht="15.6" x14ac:dyDescent="0.3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</row>
    <row r="434" spans="1:21" ht="15.6" x14ac:dyDescent="0.3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</row>
    <row r="435" spans="1:21" ht="15.6" x14ac:dyDescent="0.3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</row>
    <row r="436" spans="1:21" ht="15.6" x14ac:dyDescent="0.3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</row>
    <row r="437" spans="1:21" ht="15.6" x14ac:dyDescent="0.3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</row>
    <row r="438" spans="1:21" ht="15.6" x14ac:dyDescent="0.3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</row>
    <row r="439" spans="1:21" ht="15.6" x14ac:dyDescent="0.3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</row>
    <row r="440" spans="1:21" ht="15.6" x14ac:dyDescent="0.3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</row>
    <row r="441" spans="1:21" ht="15.6" x14ac:dyDescent="0.3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</row>
    <row r="442" spans="1:21" ht="15.6" x14ac:dyDescent="0.3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</row>
    <row r="443" spans="1:21" ht="15.6" x14ac:dyDescent="0.3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</row>
    <row r="444" spans="1:21" ht="15.6" x14ac:dyDescent="0.3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</row>
    <row r="445" spans="1:21" ht="15.6" x14ac:dyDescent="0.3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</row>
    <row r="446" spans="1:21" ht="15.6" x14ac:dyDescent="0.3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</row>
    <row r="447" spans="1:21" ht="15.6" x14ac:dyDescent="0.3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</row>
    <row r="448" spans="1:21" ht="15.6" x14ac:dyDescent="0.3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</row>
    <row r="449" spans="1:21" ht="15.6" x14ac:dyDescent="0.3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</row>
    <row r="450" spans="1:21" ht="15.6" x14ac:dyDescent="0.3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</row>
    <row r="451" spans="1:21" ht="15.6" x14ac:dyDescent="0.3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</row>
    <row r="452" spans="1:21" ht="15.6" x14ac:dyDescent="0.3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</row>
    <row r="453" spans="1:21" ht="15.6" x14ac:dyDescent="0.3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</row>
    <row r="454" spans="1:21" ht="15.6" x14ac:dyDescent="0.3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</row>
    <row r="455" spans="1:21" ht="15.6" x14ac:dyDescent="0.3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</row>
    <row r="456" spans="1:21" ht="15.6" x14ac:dyDescent="0.3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</row>
    <row r="457" spans="1:21" ht="15.6" x14ac:dyDescent="0.3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</row>
    <row r="458" spans="1:21" ht="15.6" x14ac:dyDescent="0.3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</row>
    <row r="459" spans="1:21" ht="15.6" x14ac:dyDescent="0.3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</row>
    <row r="460" spans="1:21" ht="15.6" x14ac:dyDescent="0.3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</row>
    <row r="461" spans="1:21" ht="15.6" x14ac:dyDescent="0.3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</row>
    <row r="462" spans="1:21" ht="15.6" x14ac:dyDescent="0.3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</row>
    <row r="463" spans="1:21" ht="15.6" x14ac:dyDescent="0.3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</row>
    <row r="464" spans="1:21" ht="15.6" x14ac:dyDescent="0.3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</row>
    <row r="465" spans="1:21" ht="15.6" x14ac:dyDescent="0.3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</row>
    <row r="466" spans="1:21" ht="15.6" x14ac:dyDescent="0.3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</row>
    <row r="467" spans="1:21" ht="15.6" x14ac:dyDescent="0.3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</row>
    <row r="468" spans="1:21" ht="15.6" x14ac:dyDescent="0.3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</row>
    <row r="469" spans="1:21" ht="15.6" x14ac:dyDescent="0.3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</row>
    <row r="470" spans="1:21" ht="15.6" x14ac:dyDescent="0.3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</row>
    <row r="471" spans="1:21" ht="15.6" x14ac:dyDescent="0.3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</row>
    <row r="472" spans="1:21" ht="15.6" x14ac:dyDescent="0.3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</row>
    <row r="473" spans="1:21" ht="15.6" x14ac:dyDescent="0.3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</row>
    <row r="474" spans="1:21" ht="15.6" x14ac:dyDescent="0.3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</row>
    <row r="475" spans="1:21" ht="15.6" x14ac:dyDescent="0.3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</row>
    <row r="476" spans="1:21" ht="15.6" x14ac:dyDescent="0.3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</row>
    <row r="477" spans="1:21" ht="15.6" x14ac:dyDescent="0.3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</row>
    <row r="478" spans="1:21" ht="15.6" x14ac:dyDescent="0.3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</row>
    <row r="479" spans="1:21" ht="15.6" x14ac:dyDescent="0.3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</row>
    <row r="480" spans="1:21" ht="15.6" x14ac:dyDescent="0.3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</row>
    <row r="481" spans="1:21" ht="15.6" x14ac:dyDescent="0.3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</row>
    <row r="482" spans="1:21" ht="15.6" x14ac:dyDescent="0.3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</row>
    <row r="483" spans="1:21" ht="15.6" x14ac:dyDescent="0.3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</row>
    <row r="484" spans="1:21" ht="15.6" x14ac:dyDescent="0.3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</row>
    <row r="485" spans="1:21" ht="15.6" x14ac:dyDescent="0.3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</row>
    <row r="486" spans="1:21" ht="15.6" x14ac:dyDescent="0.3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</row>
    <row r="487" spans="1:21" ht="15.6" x14ac:dyDescent="0.3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</row>
    <row r="488" spans="1:21" ht="15.6" x14ac:dyDescent="0.3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</row>
    <row r="489" spans="1:21" ht="15.6" x14ac:dyDescent="0.3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</row>
    <row r="490" spans="1:21" ht="15.6" x14ac:dyDescent="0.3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</row>
    <row r="491" spans="1:21" ht="15.6" x14ac:dyDescent="0.3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</row>
    <row r="492" spans="1:21" ht="15.6" x14ac:dyDescent="0.3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</row>
    <row r="493" spans="1:21" ht="15.6" x14ac:dyDescent="0.3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</row>
    <row r="494" spans="1:21" ht="15.6" x14ac:dyDescent="0.3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</row>
    <row r="495" spans="1:21" ht="15.6" x14ac:dyDescent="0.3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</row>
    <row r="496" spans="1:21" ht="15.6" x14ac:dyDescent="0.3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</row>
    <row r="497" spans="1:21" ht="15.6" x14ac:dyDescent="0.3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</row>
    <row r="498" spans="1:21" ht="15.6" x14ac:dyDescent="0.3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</row>
    <row r="499" spans="1:21" ht="15.6" x14ac:dyDescent="0.3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</row>
    <row r="500" spans="1:21" ht="15.6" x14ac:dyDescent="0.3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</row>
    <row r="501" spans="1:21" ht="15.6" x14ac:dyDescent="0.3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</row>
    <row r="502" spans="1:21" ht="15.6" x14ac:dyDescent="0.3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</row>
    <row r="503" spans="1:21" ht="15.6" x14ac:dyDescent="0.3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</row>
    <row r="504" spans="1:21" ht="15.6" x14ac:dyDescent="0.3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</row>
    <row r="505" spans="1:21" ht="15.6" x14ac:dyDescent="0.3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</row>
    <row r="506" spans="1:21" ht="15.6" x14ac:dyDescent="0.3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</row>
    <row r="507" spans="1:21" ht="15.6" x14ac:dyDescent="0.3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</row>
    <row r="508" spans="1:21" ht="15.6" x14ac:dyDescent="0.3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</row>
    <row r="509" spans="1:21" ht="15.6" x14ac:dyDescent="0.3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</row>
    <row r="510" spans="1:21" ht="15.6" x14ac:dyDescent="0.3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</row>
    <row r="511" spans="1:21" ht="15.6" x14ac:dyDescent="0.3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</row>
    <row r="512" spans="1:21" ht="15.6" x14ac:dyDescent="0.3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</row>
    <row r="513" spans="1:21" ht="15.6" x14ac:dyDescent="0.3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</row>
    <row r="514" spans="1:21" ht="15.6" x14ac:dyDescent="0.3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</row>
    <row r="515" spans="1:21" ht="15.6" x14ac:dyDescent="0.3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</row>
    <row r="516" spans="1:21" ht="15.6" x14ac:dyDescent="0.3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</row>
    <row r="517" spans="1:21" ht="15.6" x14ac:dyDescent="0.3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</row>
    <row r="518" spans="1:21" ht="15.6" x14ac:dyDescent="0.3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</row>
    <row r="519" spans="1:21" ht="15.6" x14ac:dyDescent="0.3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</row>
    <row r="520" spans="1:21" ht="15.6" x14ac:dyDescent="0.3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</row>
    <row r="521" spans="1:21" ht="15.6" x14ac:dyDescent="0.3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</row>
    <row r="522" spans="1:21" ht="15.6" x14ac:dyDescent="0.3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</row>
    <row r="523" spans="1:21" ht="15.6" x14ac:dyDescent="0.3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</row>
    <row r="524" spans="1:21" ht="15.6" x14ac:dyDescent="0.3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</row>
    <row r="525" spans="1:21" ht="15.6" x14ac:dyDescent="0.3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</row>
    <row r="526" spans="1:21" ht="15.6" x14ac:dyDescent="0.3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</row>
    <row r="527" spans="1:21" ht="15.6" x14ac:dyDescent="0.3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</row>
    <row r="528" spans="1:21" ht="15.6" x14ac:dyDescent="0.3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</row>
    <row r="529" spans="1:21" ht="15.6" x14ac:dyDescent="0.3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</row>
    <row r="530" spans="1:21" ht="15.6" x14ac:dyDescent="0.3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</row>
    <row r="531" spans="1:21" ht="15.6" x14ac:dyDescent="0.3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</row>
    <row r="532" spans="1:21" ht="15.6" x14ac:dyDescent="0.3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</row>
    <row r="533" spans="1:21" ht="15.6" x14ac:dyDescent="0.3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</row>
    <row r="534" spans="1:21" ht="15.6" x14ac:dyDescent="0.3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</row>
    <row r="535" spans="1:21" ht="15.6" x14ac:dyDescent="0.3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</row>
    <row r="536" spans="1:21" ht="15.6" x14ac:dyDescent="0.3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</row>
    <row r="537" spans="1:21" ht="15.6" x14ac:dyDescent="0.3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</row>
    <row r="538" spans="1:21" ht="15.6" x14ac:dyDescent="0.3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</row>
    <row r="539" spans="1:21" ht="15.6" x14ac:dyDescent="0.3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</row>
    <row r="540" spans="1:21" ht="15.6" x14ac:dyDescent="0.3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</row>
    <row r="541" spans="1:21" ht="15.6" x14ac:dyDescent="0.3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</row>
    <row r="542" spans="1:21" ht="15.6" x14ac:dyDescent="0.3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</row>
    <row r="543" spans="1:21" ht="15.6" x14ac:dyDescent="0.3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</row>
    <row r="544" spans="1:21" ht="15.6" x14ac:dyDescent="0.3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</row>
    <row r="545" spans="1:21" ht="15.6" x14ac:dyDescent="0.3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</row>
    <row r="546" spans="1:21" ht="15.6" x14ac:dyDescent="0.3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</row>
    <row r="547" spans="1:21" ht="15.6" x14ac:dyDescent="0.3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</row>
    <row r="548" spans="1:21" ht="15.6" x14ac:dyDescent="0.3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</row>
    <row r="549" spans="1:21" ht="15.6" x14ac:dyDescent="0.3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</row>
    <row r="550" spans="1:21" ht="15.6" x14ac:dyDescent="0.3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</row>
    <row r="551" spans="1:21" ht="15.6" x14ac:dyDescent="0.3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</row>
    <row r="552" spans="1:21" ht="15.6" x14ac:dyDescent="0.3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</row>
    <row r="553" spans="1:21" ht="15.6" x14ac:dyDescent="0.3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</row>
    <row r="554" spans="1:21" ht="15.6" x14ac:dyDescent="0.3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</row>
    <row r="555" spans="1:21" ht="15.6" x14ac:dyDescent="0.3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</row>
    <row r="556" spans="1:21" ht="15.6" x14ac:dyDescent="0.3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</row>
    <row r="557" spans="1:21" ht="15.6" x14ac:dyDescent="0.3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</row>
    <row r="558" spans="1:21" ht="15.6" x14ac:dyDescent="0.3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</row>
    <row r="559" spans="1:21" ht="15.6" x14ac:dyDescent="0.3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</row>
    <row r="560" spans="1:21" ht="15.6" x14ac:dyDescent="0.3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</row>
    <row r="561" spans="1:21" ht="15.6" x14ac:dyDescent="0.3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</row>
    <row r="562" spans="1:21" ht="15.6" x14ac:dyDescent="0.3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</row>
    <row r="563" spans="1:21" ht="15.6" x14ac:dyDescent="0.3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</row>
    <row r="564" spans="1:21" ht="15.6" x14ac:dyDescent="0.3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</row>
    <row r="565" spans="1:21" ht="15.6" x14ac:dyDescent="0.3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</row>
    <row r="566" spans="1:21" ht="15.6" x14ac:dyDescent="0.3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</row>
    <row r="567" spans="1:21" ht="15.6" x14ac:dyDescent="0.3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</row>
    <row r="568" spans="1:21" ht="15.6" x14ac:dyDescent="0.3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</row>
    <row r="569" spans="1:21" ht="15.6" x14ac:dyDescent="0.3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</row>
    <row r="570" spans="1:21" ht="15.6" x14ac:dyDescent="0.3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</row>
    <row r="571" spans="1:21" ht="15.6" x14ac:dyDescent="0.3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</row>
    <row r="572" spans="1:21" ht="15.6" x14ac:dyDescent="0.3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</row>
    <row r="573" spans="1:21" ht="15.6" x14ac:dyDescent="0.3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</row>
    <row r="574" spans="1:21" ht="15.6" x14ac:dyDescent="0.3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</row>
    <row r="575" spans="1:21" ht="15.6" x14ac:dyDescent="0.3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</row>
    <row r="576" spans="1:21" ht="15.6" x14ac:dyDescent="0.3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</row>
    <row r="577" spans="1:21" ht="15.6" x14ac:dyDescent="0.3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</row>
    <row r="578" spans="1:21" ht="15.6" x14ac:dyDescent="0.3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</row>
    <row r="579" spans="1:21" ht="15.6" x14ac:dyDescent="0.3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</row>
    <row r="580" spans="1:21" ht="15.6" x14ac:dyDescent="0.3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</row>
    <row r="581" spans="1:21" ht="15.6" x14ac:dyDescent="0.3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</row>
    <row r="582" spans="1:21" ht="15.6" x14ac:dyDescent="0.3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</row>
    <row r="583" spans="1:21" ht="15.6" x14ac:dyDescent="0.3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</row>
    <row r="584" spans="1:21" ht="15.6" x14ac:dyDescent="0.3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</row>
    <row r="585" spans="1:21" ht="15.6" x14ac:dyDescent="0.3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</row>
    <row r="586" spans="1:21" ht="15.6" x14ac:dyDescent="0.3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</row>
    <row r="587" spans="1:21" ht="15.6" x14ac:dyDescent="0.3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</row>
    <row r="588" spans="1:21" ht="15.6" x14ac:dyDescent="0.3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</row>
    <row r="589" spans="1:21" ht="15.6" x14ac:dyDescent="0.3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</row>
    <row r="590" spans="1:21" ht="15.6" x14ac:dyDescent="0.3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</row>
    <row r="591" spans="1:21" ht="15.6" x14ac:dyDescent="0.3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</row>
    <row r="592" spans="1:21" ht="15.6" x14ac:dyDescent="0.3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</row>
    <row r="593" spans="1:21" ht="15.6" x14ac:dyDescent="0.3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</row>
    <row r="594" spans="1:21" ht="15.6" x14ac:dyDescent="0.3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</row>
    <row r="595" spans="1:21" ht="15.6" x14ac:dyDescent="0.3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</row>
    <row r="596" spans="1:21" ht="15.6" x14ac:dyDescent="0.3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</row>
    <row r="597" spans="1:21" ht="15.6" x14ac:dyDescent="0.3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</row>
    <row r="598" spans="1:21" ht="15.6" x14ac:dyDescent="0.3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</row>
    <row r="599" spans="1:21" ht="15.6" x14ac:dyDescent="0.3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</row>
    <row r="600" spans="1:21" ht="15.6" x14ac:dyDescent="0.3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</row>
    <row r="601" spans="1:21" ht="15.6" x14ac:dyDescent="0.3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</row>
    <row r="602" spans="1:21" ht="15.6" x14ac:dyDescent="0.3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</row>
    <row r="603" spans="1:21" ht="15.6" x14ac:dyDescent="0.3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</row>
    <row r="604" spans="1:21" ht="15.6" x14ac:dyDescent="0.3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</row>
    <row r="605" spans="1:21" ht="15.6" x14ac:dyDescent="0.3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</row>
    <row r="606" spans="1:21" ht="15.6" x14ac:dyDescent="0.3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</row>
    <row r="607" spans="1:21" ht="15.6" x14ac:dyDescent="0.3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</row>
    <row r="608" spans="1:21" ht="15.6" x14ac:dyDescent="0.3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</row>
    <row r="609" spans="1:21" ht="15.6" x14ac:dyDescent="0.3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</row>
    <row r="610" spans="1:21" ht="15.6" x14ac:dyDescent="0.3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</row>
    <row r="611" spans="1:21" ht="15.6" x14ac:dyDescent="0.3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</row>
    <row r="612" spans="1:21" ht="15.6" x14ac:dyDescent="0.3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</row>
    <row r="613" spans="1:21" ht="15.6" x14ac:dyDescent="0.3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</row>
    <row r="614" spans="1:21" ht="15.6" x14ac:dyDescent="0.3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</row>
    <row r="615" spans="1:21" ht="15.6" x14ac:dyDescent="0.3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</row>
    <row r="616" spans="1:21" ht="15.6" x14ac:dyDescent="0.3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</row>
    <row r="617" spans="1:21" ht="15.6" x14ac:dyDescent="0.3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</row>
    <row r="618" spans="1:21" ht="15.6" x14ac:dyDescent="0.3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</row>
    <row r="619" spans="1:21" ht="15.6" x14ac:dyDescent="0.3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</row>
    <row r="620" spans="1:21" ht="15.6" x14ac:dyDescent="0.3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</row>
    <row r="621" spans="1:21" ht="15.6" x14ac:dyDescent="0.3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</row>
    <row r="622" spans="1:21" ht="15.6" x14ac:dyDescent="0.3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</row>
    <row r="623" spans="1:21" ht="15.6" x14ac:dyDescent="0.3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</row>
    <row r="624" spans="1:21" ht="15.6" x14ac:dyDescent="0.3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</row>
    <row r="625" spans="1:21" ht="15.6" x14ac:dyDescent="0.3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</row>
    <row r="626" spans="1:21" ht="15.6" x14ac:dyDescent="0.3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</row>
    <row r="627" spans="1:21" ht="15.6" x14ac:dyDescent="0.3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</row>
    <row r="628" spans="1:21" ht="15.6" x14ac:dyDescent="0.3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</row>
    <row r="629" spans="1:21" ht="15.6" x14ac:dyDescent="0.3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</row>
    <row r="630" spans="1:21" ht="15.6" x14ac:dyDescent="0.3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</row>
    <row r="631" spans="1:21" ht="15.6" x14ac:dyDescent="0.3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</row>
    <row r="632" spans="1:21" ht="15.6" x14ac:dyDescent="0.3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</row>
    <row r="633" spans="1:21" ht="15.6" x14ac:dyDescent="0.3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</row>
    <row r="634" spans="1:21" ht="15.6" x14ac:dyDescent="0.3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</row>
    <row r="635" spans="1:21" ht="15.6" x14ac:dyDescent="0.3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</row>
    <row r="636" spans="1:21" ht="15.6" x14ac:dyDescent="0.3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</row>
    <row r="637" spans="1:21" ht="15.6" x14ac:dyDescent="0.3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</row>
    <row r="638" spans="1:21" ht="15.6" x14ac:dyDescent="0.3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</row>
    <row r="639" spans="1:21" ht="15.6" x14ac:dyDescent="0.3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</row>
    <row r="640" spans="1:21" ht="15.6" x14ac:dyDescent="0.3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</row>
    <row r="641" spans="1:21" ht="15.6" x14ac:dyDescent="0.3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</row>
    <row r="642" spans="1:21" ht="15.6" x14ac:dyDescent="0.3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</row>
    <row r="643" spans="1:21" ht="15.6" x14ac:dyDescent="0.3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</row>
    <row r="644" spans="1:21" ht="15.6" x14ac:dyDescent="0.3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</row>
    <row r="645" spans="1:21" ht="15.6" x14ac:dyDescent="0.3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</row>
    <row r="646" spans="1:21" ht="15.6" x14ac:dyDescent="0.3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</row>
    <row r="647" spans="1:21" ht="15.6" x14ac:dyDescent="0.3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</row>
    <row r="648" spans="1:21" ht="15.6" x14ac:dyDescent="0.3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</row>
    <row r="649" spans="1:21" ht="15.6" x14ac:dyDescent="0.3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</row>
    <row r="650" spans="1:21" ht="15.6" x14ac:dyDescent="0.3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</row>
    <row r="651" spans="1:21" ht="15.6" x14ac:dyDescent="0.3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</row>
    <row r="652" spans="1:21" ht="15.6" x14ac:dyDescent="0.3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</row>
    <row r="653" spans="1:21" ht="15.6" x14ac:dyDescent="0.3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</row>
    <row r="654" spans="1:21" ht="15.6" x14ac:dyDescent="0.3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</row>
    <row r="655" spans="1:21" ht="15.6" x14ac:dyDescent="0.3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</row>
    <row r="656" spans="1:21" ht="15.6" x14ac:dyDescent="0.3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</row>
    <row r="657" spans="1:21" ht="15.6" x14ac:dyDescent="0.3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</row>
    <row r="658" spans="1:21" ht="15.6" x14ac:dyDescent="0.3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</row>
    <row r="659" spans="1:21" ht="15.6" x14ac:dyDescent="0.3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</row>
    <row r="660" spans="1:21" ht="15.6" x14ac:dyDescent="0.3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</row>
    <row r="661" spans="1:21" ht="15.6" x14ac:dyDescent="0.3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</row>
    <row r="662" spans="1:21" ht="15.6" x14ac:dyDescent="0.3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</row>
    <row r="663" spans="1:21" ht="15.6" x14ac:dyDescent="0.3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</row>
    <row r="664" spans="1:21" ht="15.6" x14ac:dyDescent="0.3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</row>
    <row r="665" spans="1:21" ht="15.6" x14ac:dyDescent="0.3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</row>
    <row r="666" spans="1:21" ht="15.6" x14ac:dyDescent="0.3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</row>
    <row r="667" spans="1:21" ht="15.6" x14ac:dyDescent="0.3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</row>
    <row r="668" spans="1:21" ht="15.6" x14ac:dyDescent="0.3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</row>
    <row r="669" spans="1:21" ht="15.6" x14ac:dyDescent="0.3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</row>
    <row r="670" spans="1:21" ht="15.6" x14ac:dyDescent="0.3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</row>
    <row r="671" spans="1:21" ht="15.6" x14ac:dyDescent="0.3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</row>
    <row r="672" spans="1:21" ht="15.6" x14ac:dyDescent="0.3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</row>
    <row r="673" spans="1:21" ht="15.6" x14ac:dyDescent="0.3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</row>
    <row r="674" spans="1:21" ht="15.6" x14ac:dyDescent="0.3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</row>
    <row r="675" spans="1:21" ht="15.6" x14ac:dyDescent="0.3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</row>
    <row r="676" spans="1:21" ht="15.6" x14ac:dyDescent="0.3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</row>
    <row r="677" spans="1:21" ht="15.6" x14ac:dyDescent="0.3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</row>
    <row r="678" spans="1:21" ht="15.6" x14ac:dyDescent="0.3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</row>
    <row r="679" spans="1:21" ht="15.6" x14ac:dyDescent="0.3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</row>
    <row r="680" spans="1:21" ht="15.6" x14ac:dyDescent="0.3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</row>
    <row r="681" spans="1:21" ht="15.6" x14ac:dyDescent="0.3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</row>
    <row r="682" spans="1:21" ht="15.6" x14ac:dyDescent="0.3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</row>
    <row r="683" spans="1:21" ht="15.6" x14ac:dyDescent="0.3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</row>
    <row r="684" spans="1:21" ht="15.6" x14ac:dyDescent="0.3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</row>
    <row r="685" spans="1:21" ht="15.6" x14ac:dyDescent="0.3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</row>
    <row r="686" spans="1:21" ht="15.6" x14ac:dyDescent="0.3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</row>
    <row r="687" spans="1:21" ht="15.6" x14ac:dyDescent="0.3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</row>
    <row r="688" spans="1:21" ht="15.6" x14ac:dyDescent="0.3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</row>
    <row r="689" spans="1:21" ht="15.6" x14ac:dyDescent="0.3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</row>
    <row r="690" spans="1:21" ht="15.6" x14ac:dyDescent="0.3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</row>
    <row r="691" spans="1:21" ht="15.6" x14ac:dyDescent="0.3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</row>
    <row r="692" spans="1:21" ht="15.6" x14ac:dyDescent="0.3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</row>
    <row r="693" spans="1:21" ht="15.6" x14ac:dyDescent="0.3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</row>
    <row r="694" spans="1:21" ht="15.6" x14ac:dyDescent="0.3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</row>
    <row r="695" spans="1:21" ht="15.6" x14ac:dyDescent="0.3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</row>
    <row r="696" spans="1:21" ht="15.6" x14ac:dyDescent="0.3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</row>
    <row r="697" spans="1:21" ht="15.6" x14ac:dyDescent="0.3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</row>
    <row r="698" spans="1:21" ht="15.6" x14ac:dyDescent="0.3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</row>
    <row r="699" spans="1:21" ht="15.6" x14ac:dyDescent="0.3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</row>
    <row r="700" spans="1:21" ht="15.6" x14ac:dyDescent="0.3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</row>
    <row r="701" spans="1:21" ht="15.6" x14ac:dyDescent="0.3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</row>
    <row r="702" spans="1:21" ht="15.6" x14ac:dyDescent="0.3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</row>
    <row r="703" spans="1:21" ht="15.6" x14ac:dyDescent="0.3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</row>
    <row r="704" spans="1:21" ht="15.6" x14ac:dyDescent="0.3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</row>
    <row r="705" spans="1:21" ht="15.6" x14ac:dyDescent="0.3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</row>
    <row r="706" spans="1:21" ht="15.6" x14ac:dyDescent="0.3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</row>
    <row r="707" spans="1:21" ht="15.6" x14ac:dyDescent="0.3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</row>
    <row r="708" spans="1:21" ht="15.6" x14ac:dyDescent="0.3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</row>
    <row r="709" spans="1:21" ht="15.6" x14ac:dyDescent="0.3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</row>
    <row r="710" spans="1:21" ht="15.6" x14ac:dyDescent="0.3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</row>
    <row r="711" spans="1:21" ht="15.6" x14ac:dyDescent="0.3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</row>
    <row r="712" spans="1:21" ht="15.6" x14ac:dyDescent="0.3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</row>
    <row r="713" spans="1:21" ht="15.6" x14ac:dyDescent="0.3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</row>
    <row r="714" spans="1:21" ht="15.6" x14ac:dyDescent="0.3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</row>
    <row r="715" spans="1:21" ht="15.6" x14ac:dyDescent="0.3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</row>
    <row r="716" spans="1:21" ht="15.6" x14ac:dyDescent="0.3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</row>
    <row r="717" spans="1:21" ht="15.6" x14ac:dyDescent="0.3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</row>
    <row r="718" spans="1:21" ht="15.6" x14ac:dyDescent="0.3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</row>
    <row r="719" spans="1:21" ht="15.6" x14ac:dyDescent="0.3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</row>
    <row r="720" spans="1:21" ht="15.6" x14ac:dyDescent="0.3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</row>
    <row r="721" spans="1:21" ht="15.6" x14ac:dyDescent="0.3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</row>
    <row r="722" spans="1:21" ht="15.6" x14ac:dyDescent="0.3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</row>
    <row r="723" spans="1:21" ht="15.6" x14ac:dyDescent="0.3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</row>
    <row r="724" spans="1:21" ht="15.6" x14ac:dyDescent="0.3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</row>
    <row r="725" spans="1:21" ht="15.6" x14ac:dyDescent="0.3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</row>
    <row r="726" spans="1:21" ht="15.6" x14ac:dyDescent="0.3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</row>
    <row r="727" spans="1:21" ht="15.6" x14ac:dyDescent="0.3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</row>
    <row r="728" spans="1:21" ht="15.6" x14ac:dyDescent="0.3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</row>
    <row r="729" spans="1:21" ht="15.6" x14ac:dyDescent="0.3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</row>
    <row r="730" spans="1:21" ht="15.6" x14ac:dyDescent="0.3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</row>
    <row r="731" spans="1:21" ht="15.6" x14ac:dyDescent="0.3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</row>
    <row r="732" spans="1:21" ht="15.6" x14ac:dyDescent="0.3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</row>
    <row r="733" spans="1:21" ht="15.6" x14ac:dyDescent="0.3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</row>
    <row r="734" spans="1:21" ht="15.6" x14ac:dyDescent="0.3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</row>
    <row r="735" spans="1:21" ht="15.6" x14ac:dyDescent="0.3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</row>
    <row r="736" spans="1:21" ht="15.6" x14ac:dyDescent="0.3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</row>
    <row r="737" spans="1:21" ht="15.6" x14ac:dyDescent="0.3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</row>
    <row r="738" spans="1:21" ht="15.6" x14ac:dyDescent="0.3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</row>
    <row r="739" spans="1:21" ht="15.6" x14ac:dyDescent="0.3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</row>
    <row r="740" spans="1:21" ht="15.6" x14ac:dyDescent="0.3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</row>
    <row r="741" spans="1:21" ht="15.6" x14ac:dyDescent="0.3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</row>
    <row r="742" spans="1:21" ht="15.6" x14ac:dyDescent="0.3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</row>
    <row r="743" spans="1:21" ht="15.6" x14ac:dyDescent="0.3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</row>
    <row r="744" spans="1:21" ht="15.6" x14ac:dyDescent="0.3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</row>
    <row r="745" spans="1:21" ht="15.6" x14ac:dyDescent="0.3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</row>
    <row r="746" spans="1:21" ht="15.6" x14ac:dyDescent="0.3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</row>
    <row r="747" spans="1:21" ht="15.6" x14ac:dyDescent="0.3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</row>
    <row r="748" spans="1:21" ht="15.6" x14ac:dyDescent="0.3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</row>
    <row r="749" spans="1:21" ht="15.6" x14ac:dyDescent="0.3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</row>
    <row r="750" spans="1:21" ht="15.6" x14ac:dyDescent="0.3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</row>
    <row r="751" spans="1:21" ht="15.6" x14ac:dyDescent="0.3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</row>
    <row r="752" spans="1:21" ht="15.6" x14ac:dyDescent="0.3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</row>
    <row r="753" spans="1:21" ht="15.6" x14ac:dyDescent="0.3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</row>
    <row r="754" spans="1:21" ht="15.6" x14ac:dyDescent="0.3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</row>
    <row r="755" spans="1:21" ht="15.6" x14ac:dyDescent="0.3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</row>
    <row r="756" spans="1:21" ht="15.6" x14ac:dyDescent="0.3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</row>
    <row r="757" spans="1:21" ht="15.6" x14ac:dyDescent="0.3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</row>
    <row r="758" spans="1:21" ht="15.6" x14ac:dyDescent="0.3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</row>
    <row r="759" spans="1:21" ht="15.6" x14ac:dyDescent="0.3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</row>
    <row r="760" spans="1:21" ht="15.6" x14ac:dyDescent="0.3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</row>
    <row r="761" spans="1:21" ht="15.6" x14ac:dyDescent="0.3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</row>
    <row r="762" spans="1:21" ht="15.6" x14ac:dyDescent="0.3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</row>
    <row r="763" spans="1:21" ht="15.6" x14ac:dyDescent="0.3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</row>
    <row r="764" spans="1:21" ht="15.6" x14ac:dyDescent="0.3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</row>
    <row r="765" spans="1:21" ht="15.6" x14ac:dyDescent="0.3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</row>
    <row r="766" spans="1:21" ht="15.6" x14ac:dyDescent="0.3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</row>
    <row r="767" spans="1:21" ht="15.6" x14ac:dyDescent="0.3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</row>
    <row r="768" spans="1:21" ht="15.6" x14ac:dyDescent="0.3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</row>
    <row r="769" spans="1:21" ht="15.6" x14ac:dyDescent="0.3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</row>
    <row r="770" spans="1:21" ht="15.6" x14ac:dyDescent="0.3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</row>
    <row r="771" spans="1:21" ht="15.6" x14ac:dyDescent="0.3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</row>
    <row r="772" spans="1:21" ht="15.6" x14ac:dyDescent="0.3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</row>
    <row r="773" spans="1:21" ht="15.6" x14ac:dyDescent="0.3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</row>
    <row r="774" spans="1:21" ht="15.6" x14ac:dyDescent="0.3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</row>
    <row r="775" spans="1:21" ht="15.6" x14ac:dyDescent="0.3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</row>
    <row r="776" spans="1:21" ht="15.6" x14ac:dyDescent="0.3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</row>
    <row r="777" spans="1:21" ht="15.6" x14ac:dyDescent="0.3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</row>
    <row r="778" spans="1:21" ht="15.6" x14ac:dyDescent="0.3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</row>
    <row r="779" spans="1:21" ht="15.6" x14ac:dyDescent="0.3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</row>
    <row r="780" spans="1:21" ht="15.6" x14ac:dyDescent="0.3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</row>
    <row r="781" spans="1:21" ht="15.6" x14ac:dyDescent="0.3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</row>
    <row r="782" spans="1:21" ht="15.6" x14ac:dyDescent="0.3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</row>
    <row r="783" spans="1:21" ht="15.6" x14ac:dyDescent="0.3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</row>
    <row r="784" spans="1:21" ht="15.6" x14ac:dyDescent="0.3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</row>
    <row r="785" spans="1:21" ht="15.6" x14ac:dyDescent="0.3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</row>
    <row r="786" spans="1:21" ht="15.6" x14ac:dyDescent="0.3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</row>
    <row r="787" spans="1:21" ht="15.6" x14ac:dyDescent="0.3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</row>
    <row r="788" spans="1:21" ht="15.6" x14ac:dyDescent="0.3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</row>
    <row r="789" spans="1:21" ht="15.6" x14ac:dyDescent="0.3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</row>
    <row r="790" spans="1:21" ht="15.6" x14ac:dyDescent="0.3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</row>
    <row r="791" spans="1:21" ht="15.6" x14ac:dyDescent="0.3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</row>
    <row r="792" spans="1:21" ht="15.6" x14ac:dyDescent="0.3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</row>
    <row r="793" spans="1:21" ht="15.6" x14ac:dyDescent="0.3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</row>
    <row r="794" spans="1:21" ht="15.6" x14ac:dyDescent="0.3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</row>
    <row r="795" spans="1:21" ht="15.6" x14ac:dyDescent="0.3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</row>
    <row r="796" spans="1:21" ht="15.6" x14ac:dyDescent="0.3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</row>
    <row r="797" spans="1:21" ht="15.6" x14ac:dyDescent="0.3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</row>
    <row r="798" spans="1:21" ht="15.6" x14ac:dyDescent="0.3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</row>
    <row r="799" spans="1:21" ht="15.6" x14ac:dyDescent="0.3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</row>
    <row r="800" spans="1:21" ht="15.6" x14ac:dyDescent="0.3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</row>
    <row r="801" spans="1:21" ht="15.6" x14ac:dyDescent="0.3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</row>
    <row r="802" spans="1:21" ht="15.6" x14ac:dyDescent="0.3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</row>
    <row r="803" spans="1:21" ht="15.6" x14ac:dyDescent="0.3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</row>
    <row r="804" spans="1:21" ht="15.6" x14ac:dyDescent="0.3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</row>
    <row r="805" spans="1:21" ht="15.6" x14ac:dyDescent="0.3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</row>
    <row r="806" spans="1:21" ht="15.6" x14ac:dyDescent="0.3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</row>
    <row r="807" spans="1:21" ht="15.6" x14ac:dyDescent="0.3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</row>
    <row r="808" spans="1:21" ht="15.6" x14ac:dyDescent="0.3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</row>
    <row r="809" spans="1:21" ht="15.6" x14ac:dyDescent="0.3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</row>
    <row r="810" spans="1:21" ht="15.6" x14ac:dyDescent="0.3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</row>
    <row r="811" spans="1:21" ht="15.6" x14ac:dyDescent="0.3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</row>
    <row r="812" spans="1:21" ht="15.6" x14ac:dyDescent="0.3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</row>
    <row r="813" spans="1:21" ht="15.6" x14ac:dyDescent="0.3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</row>
    <row r="814" spans="1:21" ht="15.6" x14ac:dyDescent="0.3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</row>
    <row r="815" spans="1:21" ht="15.6" x14ac:dyDescent="0.3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</row>
    <row r="816" spans="1:21" ht="15.6" x14ac:dyDescent="0.3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</row>
    <row r="817" spans="1:21" ht="15.6" x14ac:dyDescent="0.3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</row>
    <row r="818" spans="1:21" ht="15.6" x14ac:dyDescent="0.3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</row>
    <row r="819" spans="1:21" ht="15.6" x14ac:dyDescent="0.3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</row>
    <row r="820" spans="1:21" ht="15.6" x14ac:dyDescent="0.3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</row>
    <row r="821" spans="1:21" ht="15.6" x14ac:dyDescent="0.3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</row>
    <row r="822" spans="1:21" ht="15.6" x14ac:dyDescent="0.3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</row>
    <row r="823" spans="1:21" ht="15.6" x14ac:dyDescent="0.3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</row>
    <row r="824" spans="1:21" ht="15.6" x14ac:dyDescent="0.3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</row>
    <row r="825" spans="1:21" ht="15.6" x14ac:dyDescent="0.3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</row>
    <row r="826" spans="1:21" ht="15.6" x14ac:dyDescent="0.3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</row>
    <row r="827" spans="1:21" ht="15.6" x14ac:dyDescent="0.3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</row>
    <row r="828" spans="1:21" ht="15.6" x14ac:dyDescent="0.3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</row>
    <row r="829" spans="1:21" ht="15.6" x14ac:dyDescent="0.3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</row>
    <row r="830" spans="1:21" ht="15.6" x14ac:dyDescent="0.3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</row>
    <row r="831" spans="1:21" ht="15.6" x14ac:dyDescent="0.3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</row>
    <row r="832" spans="1:21" ht="15.6" x14ac:dyDescent="0.3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</row>
    <row r="833" spans="1:21" ht="15.6" x14ac:dyDescent="0.3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</row>
    <row r="834" spans="1:21" ht="15.6" x14ac:dyDescent="0.3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</row>
    <row r="835" spans="1:21" ht="15.6" x14ac:dyDescent="0.3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</row>
    <row r="836" spans="1:21" ht="15.6" x14ac:dyDescent="0.3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</row>
    <row r="837" spans="1:21" ht="15.6" x14ac:dyDescent="0.3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</row>
    <row r="838" spans="1:21" ht="15.6" x14ac:dyDescent="0.3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</row>
    <row r="839" spans="1:21" ht="15.6" x14ac:dyDescent="0.3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</row>
    <row r="840" spans="1:21" ht="15.6" x14ac:dyDescent="0.3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</row>
    <row r="841" spans="1:21" ht="15.6" x14ac:dyDescent="0.3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</row>
    <row r="842" spans="1:21" ht="15.6" x14ac:dyDescent="0.3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</row>
    <row r="843" spans="1:21" ht="15.6" x14ac:dyDescent="0.3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</row>
    <row r="844" spans="1:21" ht="15.6" x14ac:dyDescent="0.3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</row>
    <row r="845" spans="1:21" ht="15.6" x14ac:dyDescent="0.3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</row>
    <row r="846" spans="1:21" ht="15.6" x14ac:dyDescent="0.3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</row>
    <row r="847" spans="1:21" ht="15.6" x14ac:dyDescent="0.3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</row>
    <row r="848" spans="1:21" ht="15.6" x14ac:dyDescent="0.3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</row>
    <row r="849" spans="1:21" ht="15.6" x14ac:dyDescent="0.3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</row>
    <row r="850" spans="1:21" ht="15.6" x14ac:dyDescent="0.3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</row>
    <row r="851" spans="1:21" ht="15.6" x14ac:dyDescent="0.3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</row>
    <row r="852" spans="1:21" ht="15.6" x14ac:dyDescent="0.3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</row>
    <row r="853" spans="1:21" ht="15.6" x14ac:dyDescent="0.3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</row>
    <row r="854" spans="1:21" ht="15.6" x14ac:dyDescent="0.3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</row>
    <row r="855" spans="1:21" ht="15.6" x14ac:dyDescent="0.3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</row>
    <row r="856" spans="1:21" ht="15.6" x14ac:dyDescent="0.3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</row>
    <row r="857" spans="1:21" ht="15.6" x14ac:dyDescent="0.3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</row>
    <row r="858" spans="1:21" ht="15.6" x14ac:dyDescent="0.3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</row>
    <row r="859" spans="1:21" ht="15.6" x14ac:dyDescent="0.3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</row>
    <row r="860" spans="1:21" ht="15.6" x14ac:dyDescent="0.3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</row>
    <row r="861" spans="1:21" ht="15.6" x14ac:dyDescent="0.3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</row>
    <row r="862" spans="1:21" ht="15.6" x14ac:dyDescent="0.3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</row>
    <row r="863" spans="1:21" ht="15.6" x14ac:dyDescent="0.3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</row>
    <row r="864" spans="1:21" ht="15.6" x14ac:dyDescent="0.3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</row>
    <row r="865" spans="1:21" ht="15.6" x14ac:dyDescent="0.3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</row>
    <row r="866" spans="1:21" ht="15.6" x14ac:dyDescent="0.3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</row>
    <row r="867" spans="1:21" ht="15.6" x14ac:dyDescent="0.3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</row>
    <row r="868" spans="1:21" ht="15.6" x14ac:dyDescent="0.3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</row>
    <row r="869" spans="1:21" ht="15.6" x14ac:dyDescent="0.3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</row>
    <row r="870" spans="1:21" ht="15.6" x14ac:dyDescent="0.3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</row>
    <row r="871" spans="1:21" ht="15.6" x14ac:dyDescent="0.3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</row>
    <row r="872" spans="1:21" ht="15.6" x14ac:dyDescent="0.3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</row>
    <row r="873" spans="1:21" ht="15.6" x14ac:dyDescent="0.3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</row>
    <row r="874" spans="1:21" ht="15.6" x14ac:dyDescent="0.3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</row>
    <row r="875" spans="1:21" ht="15.6" x14ac:dyDescent="0.3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</row>
    <row r="876" spans="1:21" ht="15.6" x14ac:dyDescent="0.3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</row>
    <row r="877" spans="1:21" ht="15.6" x14ac:dyDescent="0.3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</row>
    <row r="878" spans="1:21" ht="15.6" x14ac:dyDescent="0.3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</row>
    <row r="879" spans="1:21" ht="15.6" x14ac:dyDescent="0.3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</row>
    <row r="880" spans="1:21" ht="15.6" x14ac:dyDescent="0.3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</row>
    <row r="881" spans="1:21" ht="15.6" x14ac:dyDescent="0.3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</row>
    <row r="882" spans="1:21" ht="15.6" x14ac:dyDescent="0.3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</row>
    <row r="883" spans="1:21" ht="15.6" x14ac:dyDescent="0.3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</row>
    <row r="884" spans="1:21" ht="15.6" x14ac:dyDescent="0.3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</row>
    <row r="885" spans="1:21" ht="15.6" x14ac:dyDescent="0.3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</row>
    <row r="886" spans="1:21" ht="15.6" x14ac:dyDescent="0.3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</row>
    <row r="887" spans="1:21" ht="15.6" x14ac:dyDescent="0.3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</row>
    <row r="888" spans="1:21" ht="15.6" x14ac:dyDescent="0.3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</row>
    <row r="889" spans="1:21" ht="15.6" x14ac:dyDescent="0.3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</row>
    <row r="890" spans="1:21" ht="15.6" x14ac:dyDescent="0.3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</row>
    <row r="891" spans="1:21" ht="15.6" x14ac:dyDescent="0.3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</row>
    <row r="892" spans="1:21" ht="15.6" x14ac:dyDescent="0.3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</row>
    <row r="893" spans="1:21" ht="15.6" x14ac:dyDescent="0.3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</row>
    <row r="894" spans="1:21" ht="15.6" x14ac:dyDescent="0.3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</row>
    <row r="895" spans="1:21" ht="15.6" x14ac:dyDescent="0.3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</row>
    <row r="896" spans="1:21" ht="15.6" x14ac:dyDescent="0.3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</row>
    <row r="897" spans="1:21" ht="15.6" x14ac:dyDescent="0.3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</row>
    <row r="898" spans="1:21" ht="15.6" x14ac:dyDescent="0.3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</row>
    <row r="899" spans="1:21" ht="15.6" x14ac:dyDescent="0.3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</row>
    <row r="900" spans="1:21" ht="15.6" x14ac:dyDescent="0.3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</row>
    <row r="901" spans="1:21" ht="15.6" x14ac:dyDescent="0.3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</row>
    <row r="902" spans="1:21" ht="15.6" x14ac:dyDescent="0.3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</row>
    <row r="903" spans="1:21" ht="15.6" x14ac:dyDescent="0.3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</row>
    <row r="904" spans="1:21" ht="15.6" x14ac:dyDescent="0.3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</row>
    <row r="905" spans="1:21" ht="15.6" x14ac:dyDescent="0.3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</row>
    <row r="906" spans="1:21" ht="15.6" x14ac:dyDescent="0.3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</row>
    <row r="907" spans="1:21" ht="15.6" x14ac:dyDescent="0.3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</row>
    <row r="908" spans="1:21" ht="15.6" x14ac:dyDescent="0.3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</row>
    <row r="909" spans="1:21" ht="15.6" x14ac:dyDescent="0.3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</row>
    <row r="910" spans="1:21" ht="15.6" x14ac:dyDescent="0.3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</row>
    <row r="911" spans="1:21" ht="15.6" x14ac:dyDescent="0.3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</row>
    <row r="912" spans="1:21" ht="15.6" x14ac:dyDescent="0.3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</row>
    <row r="913" spans="1:21" ht="15.6" x14ac:dyDescent="0.3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</row>
    <row r="914" spans="1:21" ht="15.6" x14ac:dyDescent="0.3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</row>
    <row r="915" spans="1:21" ht="15.6" x14ac:dyDescent="0.3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</row>
    <row r="916" spans="1:21" ht="15.6" x14ac:dyDescent="0.3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</row>
    <row r="917" spans="1:21" ht="15.6" x14ac:dyDescent="0.3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</row>
    <row r="918" spans="1:21" ht="15.6" x14ac:dyDescent="0.3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</row>
    <row r="919" spans="1:21" ht="15.6" x14ac:dyDescent="0.3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</row>
    <row r="920" spans="1:21" ht="15.6" x14ac:dyDescent="0.3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</row>
    <row r="921" spans="1:21" ht="15.6" x14ac:dyDescent="0.3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</row>
    <row r="922" spans="1:21" ht="15.6" x14ac:dyDescent="0.3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</row>
    <row r="923" spans="1:21" ht="15.6" x14ac:dyDescent="0.3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</row>
    <row r="924" spans="1:21" ht="15.6" x14ac:dyDescent="0.3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</row>
    <row r="925" spans="1:21" ht="15.6" x14ac:dyDescent="0.3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</row>
    <row r="926" spans="1:21" ht="15.6" x14ac:dyDescent="0.3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</row>
    <row r="927" spans="1:21" ht="15.6" x14ac:dyDescent="0.3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</row>
    <row r="928" spans="1:21" ht="15.6" x14ac:dyDescent="0.3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</row>
    <row r="929" spans="1:21" ht="15.6" x14ac:dyDescent="0.3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</row>
    <row r="930" spans="1:21" ht="15.6" x14ac:dyDescent="0.3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</row>
    <row r="931" spans="1:21" ht="15.6" x14ac:dyDescent="0.3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</row>
    <row r="932" spans="1:21" ht="15.6" x14ac:dyDescent="0.3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</row>
    <row r="933" spans="1:21" ht="15.6" x14ac:dyDescent="0.3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</row>
    <row r="934" spans="1:21" ht="15.6" x14ac:dyDescent="0.3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</row>
    <row r="935" spans="1:21" ht="15.6" x14ac:dyDescent="0.3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</row>
    <row r="936" spans="1:21" ht="15.6" x14ac:dyDescent="0.3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</row>
    <row r="937" spans="1:21" ht="15.6" x14ac:dyDescent="0.3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</row>
    <row r="938" spans="1:21" ht="15.6" x14ac:dyDescent="0.3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</row>
    <row r="939" spans="1:21" ht="15.6" x14ac:dyDescent="0.3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</row>
    <row r="940" spans="1:21" ht="15.6" x14ac:dyDescent="0.3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</row>
    <row r="941" spans="1:21" ht="15.6" x14ac:dyDescent="0.3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</row>
    <row r="942" spans="1:21" ht="15.6" x14ac:dyDescent="0.3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</row>
    <row r="943" spans="1:21" ht="15.6" x14ac:dyDescent="0.3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</row>
    <row r="944" spans="1:21" ht="15.6" x14ac:dyDescent="0.3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</row>
    <row r="945" spans="1:21" ht="15.6" x14ac:dyDescent="0.3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</row>
    <row r="946" spans="1:21" ht="15.6" x14ac:dyDescent="0.3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</row>
    <row r="947" spans="1:21" ht="15.6" x14ac:dyDescent="0.3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</row>
    <row r="948" spans="1:21" ht="15.6" x14ac:dyDescent="0.3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</row>
    <row r="949" spans="1:21" ht="15.6" x14ac:dyDescent="0.3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</row>
    <row r="950" spans="1:21" ht="15.6" x14ac:dyDescent="0.3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</row>
    <row r="951" spans="1:21" ht="15.6" x14ac:dyDescent="0.3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</row>
    <row r="952" spans="1:21" ht="15.6" x14ac:dyDescent="0.3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</row>
    <row r="953" spans="1:21" ht="15.6" x14ac:dyDescent="0.3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</row>
    <row r="954" spans="1:21" ht="15.6" x14ac:dyDescent="0.3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</row>
    <row r="955" spans="1:21" ht="15.6" x14ac:dyDescent="0.3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</row>
    <row r="956" spans="1:21" ht="15.6" x14ac:dyDescent="0.3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</row>
    <row r="957" spans="1:21" ht="15.6" x14ac:dyDescent="0.3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</row>
    <row r="958" spans="1:21" ht="15.6" x14ac:dyDescent="0.3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</row>
    <row r="959" spans="1:21" ht="15.6" x14ac:dyDescent="0.3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</row>
    <row r="960" spans="1:21" ht="15.6" x14ac:dyDescent="0.3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</row>
    <row r="961" spans="1:21" ht="15.6" x14ac:dyDescent="0.3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</row>
    <row r="962" spans="1:21" ht="15.6" x14ac:dyDescent="0.3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</row>
    <row r="963" spans="1:21" ht="15.6" x14ac:dyDescent="0.3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</row>
    <row r="964" spans="1:21" ht="15.6" x14ac:dyDescent="0.3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</row>
    <row r="965" spans="1:21" ht="15.6" x14ac:dyDescent="0.3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</row>
    <row r="966" spans="1:21" ht="15.6" x14ac:dyDescent="0.3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</row>
    <row r="967" spans="1:21" ht="15.6" x14ac:dyDescent="0.3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</row>
    <row r="968" spans="1:21" ht="15.6" x14ac:dyDescent="0.3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</row>
    <row r="969" spans="1:21" ht="15.6" x14ac:dyDescent="0.3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</row>
    <row r="970" spans="1:21" ht="15.6" x14ac:dyDescent="0.3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</row>
    <row r="971" spans="1:21" ht="15.6" x14ac:dyDescent="0.3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</row>
    <row r="972" spans="1:21" ht="15.6" x14ac:dyDescent="0.3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</row>
    <row r="973" spans="1:21" ht="15.6" x14ac:dyDescent="0.3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</row>
    <row r="974" spans="1:21" ht="15.6" x14ac:dyDescent="0.3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</row>
    <row r="975" spans="1:21" ht="15.6" x14ac:dyDescent="0.3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</row>
    <row r="976" spans="1:21" ht="15.6" x14ac:dyDescent="0.3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</row>
    <row r="977" spans="1:21" ht="15.6" x14ac:dyDescent="0.3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</row>
    <row r="978" spans="1:21" ht="15.6" x14ac:dyDescent="0.3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</row>
    <row r="979" spans="1:21" ht="15.6" x14ac:dyDescent="0.3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</row>
    <row r="980" spans="1:21" ht="15.6" x14ac:dyDescent="0.3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</row>
    <row r="981" spans="1:21" ht="15.6" x14ac:dyDescent="0.3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</row>
    <row r="982" spans="1:21" ht="15.6" x14ac:dyDescent="0.3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</row>
    <row r="983" spans="1:21" ht="15.6" x14ac:dyDescent="0.3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</row>
    <row r="984" spans="1:21" ht="15.6" x14ac:dyDescent="0.3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</row>
    <row r="985" spans="1:21" ht="15.6" x14ac:dyDescent="0.3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</row>
    <row r="986" spans="1:21" ht="15.6" x14ac:dyDescent="0.3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</row>
    <row r="987" spans="1:21" ht="15.6" x14ac:dyDescent="0.3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</row>
    <row r="988" spans="1:21" ht="15.6" x14ac:dyDescent="0.3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</row>
    <row r="989" spans="1:21" ht="15.6" x14ac:dyDescent="0.3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</row>
    <row r="990" spans="1:21" ht="15.6" x14ac:dyDescent="0.3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</row>
    <row r="991" spans="1:21" ht="15.6" x14ac:dyDescent="0.3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</row>
    <row r="992" spans="1:21" ht="15.6" x14ac:dyDescent="0.3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</row>
    <row r="993" spans="1:21" ht="15.6" x14ac:dyDescent="0.3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</row>
    <row r="994" spans="1:21" ht="15.6" x14ac:dyDescent="0.3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</row>
    <row r="995" spans="1:21" ht="15.6" x14ac:dyDescent="0.3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</row>
    <row r="996" spans="1:21" ht="15.6" x14ac:dyDescent="0.3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</row>
    <row r="997" spans="1:21" ht="15.6" x14ac:dyDescent="0.3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</row>
    <row r="998" spans="1:21" ht="15.6" x14ac:dyDescent="0.3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</row>
    <row r="999" spans="1:21" ht="15.6" x14ac:dyDescent="0.3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</row>
  </sheetData>
  <conditionalFormatting sqref="A1">
    <cfRule type="expression" dxfId="5" priority="1">
      <formula>MOD(ROW(),2)=0</formula>
    </cfRule>
  </conditionalFormatting>
  <conditionalFormatting sqref="A1:R1 A2:U2 A3:S131 A252:U999 B132:S133 T1:U1 T3:U144 T145 T146:U251 A134:S251">
    <cfRule type="expression" dxfId="4" priority="2">
      <formula>MOD(ROW(),2)=1</formula>
    </cfRule>
  </conditionalFormatting>
  <conditionalFormatting sqref="V146">
    <cfRule type="expression" dxfId="3" priority="3">
      <formula>MOD(ROW(),2)=1</formula>
    </cfRule>
  </conditionalFormatting>
  <conditionalFormatting sqref="U145">
    <cfRule type="expression" dxfId="2" priority="4">
      <formula>MOD(ROW(),2)=1</formula>
    </cfRule>
  </conditionalFormatting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X67"/>
  <sheetViews>
    <sheetView topLeftCell="O9" zoomScale="125" workbookViewId="0">
      <selection activeCell="T11" sqref="T11"/>
    </sheetView>
  </sheetViews>
  <sheetFormatPr baseColWidth="10" defaultColWidth="11.19921875" defaultRowHeight="15" customHeight="1" x14ac:dyDescent="0.3"/>
  <cols>
    <col min="1" max="1" width="41.09765625" customWidth="1"/>
    <col min="2" max="2" width="6.19921875" customWidth="1"/>
    <col min="3" max="3" width="31.5" customWidth="1"/>
    <col min="4" max="4" width="25.19921875" customWidth="1"/>
    <col min="5" max="5" width="26.5" customWidth="1"/>
    <col min="6" max="11" width="10.5" customWidth="1"/>
    <col min="12" max="12" width="16.5" bestFit="1" customWidth="1"/>
    <col min="13" max="13" width="20.69921875" style="108" bestFit="1" customWidth="1"/>
    <col min="14" max="14" width="10.5" hidden="1" customWidth="1"/>
    <col min="15" max="15" width="10.5" customWidth="1"/>
    <col min="16" max="16" width="16.09765625" bestFit="1" customWidth="1"/>
    <col min="17" max="17" width="18.59765625" bestFit="1" customWidth="1"/>
    <col min="18" max="18" width="19.3984375" bestFit="1" customWidth="1"/>
    <col min="19" max="19" width="20.796875" style="118" bestFit="1" customWidth="1"/>
    <col min="20" max="20" width="10.5" customWidth="1"/>
    <col min="21" max="21" width="15.59765625" bestFit="1" customWidth="1"/>
    <col min="22" max="22" width="18.69921875" bestFit="1" customWidth="1"/>
    <col min="23" max="23" width="15.69921875" bestFit="1" customWidth="1"/>
    <col min="24" max="24" width="13.19921875" bestFit="1" customWidth="1"/>
    <col min="25" max="26" width="10.5" customWidth="1"/>
  </cols>
  <sheetData>
    <row r="1" spans="1:24" ht="15" customHeight="1" x14ac:dyDescent="0.3">
      <c r="A1" s="21" t="s">
        <v>88</v>
      </c>
      <c r="B1" s="22"/>
      <c r="L1" t="s">
        <v>317</v>
      </c>
      <c r="U1" s="111" t="s">
        <v>98</v>
      </c>
      <c r="V1" s="115" t="s">
        <v>89</v>
      </c>
      <c r="W1" s="115" t="s">
        <v>95</v>
      </c>
      <c r="X1" s="112" t="s">
        <v>92</v>
      </c>
    </row>
    <row r="2" spans="1:24" ht="15" customHeight="1" x14ac:dyDescent="0.3">
      <c r="A2" s="23" t="s">
        <v>119</v>
      </c>
      <c r="B2" s="22">
        <v>85.5</v>
      </c>
      <c r="L2" s="105" t="s">
        <v>64</v>
      </c>
      <c r="M2" s="110" t="s">
        <v>316</v>
      </c>
      <c r="U2" s="113">
        <v>20</v>
      </c>
      <c r="V2" s="116">
        <v>47</v>
      </c>
      <c r="W2" s="116">
        <v>24</v>
      </c>
      <c r="X2" s="114">
        <v>10</v>
      </c>
    </row>
    <row r="3" spans="1:24" ht="15" customHeight="1" x14ac:dyDescent="0.3">
      <c r="A3" s="24" t="s">
        <v>197</v>
      </c>
      <c r="B3" s="25">
        <v>1</v>
      </c>
      <c r="L3" s="106" t="s">
        <v>312</v>
      </c>
      <c r="M3" s="110">
        <v>3948380</v>
      </c>
    </row>
    <row r="4" spans="1:24" ht="15" customHeight="1" x14ac:dyDescent="0.3">
      <c r="A4" s="24" t="s">
        <v>198</v>
      </c>
      <c r="B4" s="25"/>
      <c r="L4" s="117" t="s">
        <v>319</v>
      </c>
      <c r="M4" s="110">
        <v>262400</v>
      </c>
      <c r="O4">
        <f>WEEKNUM(L4)</f>
        <v>36</v>
      </c>
    </row>
    <row r="5" spans="1:24" ht="15" customHeight="1" x14ac:dyDescent="0.3">
      <c r="A5" s="24" t="s">
        <v>104</v>
      </c>
      <c r="B5" s="25">
        <v>115.3</v>
      </c>
      <c r="L5" s="117" t="s">
        <v>320</v>
      </c>
      <c r="M5" s="110">
        <v>148100</v>
      </c>
      <c r="O5">
        <f t="shared" ref="O5:O65" si="0">WEEKNUM(L5)</f>
        <v>36</v>
      </c>
    </row>
    <row r="6" spans="1:24" ht="15" customHeight="1" x14ac:dyDescent="0.3">
      <c r="A6" s="24" t="s">
        <v>199</v>
      </c>
      <c r="B6" s="25">
        <v>60</v>
      </c>
      <c r="L6" s="117" t="s">
        <v>321</v>
      </c>
      <c r="M6" s="110">
        <v>217700</v>
      </c>
      <c r="O6">
        <f t="shared" si="0"/>
        <v>37</v>
      </c>
    </row>
    <row r="7" spans="1:24" ht="15" customHeight="1" x14ac:dyDescent="0.3">
      <c r="A7" s="24" t="s">
        <v>101</v>
      </c>
      <c r="B7" s="25">
        <v>63</v>
      </c>
      <c r="L7" s="117" t="s">
        <v>322</v>
      </c>
      <c r="M7" s="110">
        <v>312800</v>
      </c>
      <c r="O7">
        <f t="shared" si="0"/>
        <v>37</v>
      </c>
    </row>
    <row r="8" spans="1:24" ht="15" customHeight="1" x14ac:dyDescent="0.3">
      <c r="A8" s="24" t="s">
        <v>113</v>
      </c>
      <c r="B8" s="25">
        <v>22.65</v>
      </c>
      <c r="L8" s="117" t="s">
        <v>323</v>
      </c>
      <c r="M8" s="110">
        <v>277500</v>
      </c>
      <c r="O8">
        <f t="shared" si="0"/>
        <v>37</v>
      </c>
    </row>
    <row r="9" spans="1:24" ht="15" customHeight="1" x14ac:dyDescent="0.3">
      <c r="A9" s="24" t="s">
        <v>200</v>
      </c>
      <c r="B9" s="25">
        <v>4</v>
      </c>
      <c r="L9" s="117" t="s">
        <v>324</v>
      </c>
      <c r="M9" s="110">
        <v>515580</v>
      </c>
      <c r="O9">
        <f t="shared" si="0"/>
        <v>37</v>
      </c>
    </row>
    <row r="10" spans="1:24" ht="15" customHeight="1" x14ac:dyDescent="0.3">
      <c r="A10" s="24" t="s">
        <v>116</v>
      </c>
      <c r="B10" s="25">
        <v>45.5</v>
      </c>
      <c r="L10" s="117" t="s">
        <v>325</v>
      </c>
      <c r="M10" s="110">
        <v>128500</v>
      </c>
      <c r="O10">
        <f t="shared" si="0"/>
        <v>38</v>
      </c>
    </row>
    <row r="11" spans="1:24" ht="15" customHeight="1" x14ac:dyDescent="0.3">
      <c r="A11" s="24" t="s">
        <v>201</v>
      </c>
      <c r="B11" s="25">
        <v>16</v>
      </c>
      <c r="L11" s="117" t="s">
        <v>326</v>
      </c>
      <c r="M11" s="110">
        <v>144400</v>
      </c>
      <c r="O11">
        <f t="shared" si="0"/>
        <v>38</v>
      </c>
    </row>
    <row r="12" spans="1:24" ht="15" customHeight="1" x14ac:dyDescent="0.3">
      <c r="A12" s="24" t="s">
        <v>110</v>
      </c>
      <c r="B12" s="25">
        <v>33</v>
      </c>
      <c r="L12" s="117" t="s">
        <v>327</v>
      </c>
      <c r="M12" s="110">
        <v>248000</v>
      </c>
      <c r="O12">
        <f t="shared" si="0"/>
        <v>38</v>
      </c>
    </row>
    <row r="13" spans="1:24" ht="15" customHeight="1" x14ac:dyDescent="0.3">
      <c r="A13" s="31" t="s">
        <v>107</v>
      </c>
      <c r="B13" s="32">
        <v>19.5</v>
      </c>
      <c r="L13" s="117" t="s">
        <v>328</v>
      </c>
      <c r="M13" s="110">
        <v>116200</v>
      </c>
      <c r="O13">
        <f t="shared" si="0"/>
        <v>38</v>
      </c>
      <c r="R13" s="105" t="s">
        <v>64</v>
      </c>
      <c r="S13" s="119" t="s">
        <v>316</v>
      </c>
    </row>
    <row r="14" spans="1:24" ht="15" customHeight="1" x14ac:dyDescent="0.3">
      <c r="L14" s="117" t="s">
        <v>329</v>
      </c>
      <c r="M14" s="110">
        <v>201100</v>
      </c>
      <c r="O14">
        <f t="shared" si="0"/>
        <v>39</v>
      </c>
      <c r="R14" s="106" t="s">
        <v>378</v>
      </c>
      <c r="S14" s="119">
        <v>3948380</v>
      </c>
    </row>
    <row r="15" spans="1:24" ht="15" customHeight="1" x14ac:dyDescent="0.3">
      <c r="L15" s="117" t="s">
        <v>330</v>
      </c>
      <c r="M15" s="110">
        <v>190300</v>
      </c>
      <c r="O15">
        <f t="shared" si="0"/>
        <v>39</v>
      </c>
      <c r="R15" s="106" t="s">
        <v>313</v>
      </c>
      <c r="S15" s="119">
        <v>3183800</v>
      </c>
    </row>
    <row r="16" spans="1:24" ht="15" customHeight="1" x14ac:dyDescent="0.3">
      <c r="L16" s="117" t="s">
        <v>331</v>
      </c>
      <c r="M16" s="110">
        <v>142500</v>
      </c>
      <c r="O16">
        <f t="shared" si="0"/>
        <v>39</v>
      </c>
      <c r="R16" s="106" t="s">
        <v>314</v>
      </c>
      <c r="S16" s="119">
        <v>2293100</v>
      </c>
    </row>
    <row r="17" spans="12:19" ht="15" customHeight="1" x14ac:dyDescent="0.3">
      <c r="L17" s="117" t="s">
        <v>332</v>
      </c>
      <c r="M17" s="110">
        <v>227800</v>
      </c>
      <c r="O17">
        <f t="shared" si="0"/>
        <v>39</v>
      </c>
      <c r="R17" s="106" t="s">
        <v>315</v>
      </c>
      <c r="S17" s="119">
        <v>1648200</v>
      </c>
    </row>
    <row r="18" spans="12:19" ht="15" customHeight="1" x14ac:dyDescent="0.3">
      <c r="L18" s="117" t="s">
        <v>333</v>
      </c>
      <c r="M18" s="110">
        <v>59500</v>
      </c>
      <c r="O18">
        <f t="shared" si="0"/>
        <v>40</v>
      </c>
      <c r="R18" s="107" t="s">
        <v>78</v>
      </c>
      <c r="S18" s="120">
        <v>11073480</v>
      </c>
    </row>
    <row r="19" spans="12:19" ht="15" customHeight="1" x14ac:dyDescent="0.3">
      <c r="L19" s="117" t="s">
        <v>334</v>
      </c>
      <c r="M19" s="110">
        <v>107400</v>
      </c>
      <c r="O19">
        <f t="shared" si="0"/>
        <v>40</v>
      </c>
    </row>
    <row r="20" spans="12:19" ht="15" customHeight="1" x14ac:dyDescent="0.3">
      <c r="L20" s="117" t="s">
        <v>335</v>
      </c>
      <c r="M20" s="110">
        <v>281100</v>
      </c>
      <c r="O20">
        <f t="shared" si="0"/>
        <v>40</v>
      </c>
    </row>
    <row r="21" spans="12:19" ht="15" customHeight="1" x14ac:dyDescent="0.3">
      <c r="L21" s="117" t="s">
        <v>336</v>
      </c>
      <c r="M21" s="110">
        <v>367500</v>
      </c>
      <c r="O21">
        <f t="shared" si="0"/>
        <v>40</v>
      </c>
    </row>
    <row r="22" spans="12:19" ht="15" customHeight="1" x14ac:dyDescent="0.3">
      <c r="L22" s="106" t="s">
        <v>313</v>
      </c>
      <c r="M22" s="110">
        <v>3183800</v>
      </c>
    </row>
    <row r="23" spans="12:19" ht="15" customHeight="1" x14ac:dyDescent="0.3">
      <c r="L23" s="117" t="s">
        <v>337</v>
      </c>
      <c r="M23" s="110">
        <v>858600</v>
      </c>
      <c r="O23">
        <f t="shared" si="0"/>
        <v>40</v>
      </c>
    </row>
    <row r="24" spans="12:19" ht="15" customHeight="1" x14ac:dyDescent="0.3">
      <c r="L24" s="117" t="s">
        <v>338</v>
      </c>
      <c r="M24" s="110">
        <v>256300</v>
      </c>
      <c r="O24">
        <f t="shared" si="0"/>
        <v>40</v>
      </c>
    </row>
    <row r="25" spans="12:19" ht="15" customHeight="1" x14ac:dyDescent="0.3">
      <c r="L25" s="117" t="s">
        <v>339</v>
      </c>
      <c r="M25" s="110">
        <v>266300</v>
      </c>
      <c r="O25">
        <f t="shared" si="0"/>
        <v>40</v>
      </c>
    </row>
    <row r="26" spans="12:19" ht="15" customHeight="1" x14ac:dyDescent="0.3">
      <c r="L26" s="117" t="s">
        <v>340</v>
      </c>
      <c r="M26" s="110">
        <v>354800</v>
      </c>
      <c r="O26">
        <f t="shared" si="0"/>
        <v>41</v>
      </c>
    </row>
    <row r="27" spans="12:19" ht="15" customHeight="1" x14ac:dyDescent="0.3">
      <c r="L27" s="117" t="s">
        <v>341</v>
      </c>
      <c r="M27" s="110">
        <v>126300</v>
      </c>
      <c r="O27">
        <f t="shared" si="0"/>
        <v>41</v>
      </c>
    </row>
    <row r="28" spans="12:19" ht="15" customHeight="1" x14ac:dyDescent="0.3">
      <c r="L28" s="117" t="s">
        <v>342</v>
      </c>
      <c r="M28" s="110">
        <v>129800</v>
      </c>
      <c r="O28">
        <f t="shared" si="0"/>
        <v>41</v>
      </c>
    </row>
    <row r="29" spans="12:19" ht="15" customHeight="1" x14ac:dyDescent="0.3">
      <c r="L29" s="117" t="s">
        <v>343</v>
      </c>
      <c r="M29" s="110">
        <v>130000</v>
      </c>
      <c r="O29">
        <f t="shared" si="0"/>
        <v>41</v>
      </c>
    </row>
    <row r="30" spans="12:19" ht="15" customHeight="1" x14ac:dyDescent="0.3">
      <c r="L30" s="117" t="s">
        <v>344</v>
      </c>
      <c r="M30" s="110">
        <v>199300</v>
      </c>
      <c r="O30">
        <f t="shared" si="0"/>
        <v>41</v>
      </c>
    </row>
    <row r="31" spans="12:19" ht="15" customHeight="1" x14ac:dyDescent="0.3">
      <c r="L31" s="117" t="s">
        <v>345</v>
      </c>
      <c r="M31" s="110">
        <v>70500</v>
      </c>
      <c r="O31">
        <f t="shared" si="0"/>
        <v>41</v>
      </c>
    </row>
    <row r="32" spans="12:19" ht="15" customHeight="1" x14ac:dyDescent="0.3">
      <c r="L32" s="117" t="s">
        <v>346</v>
      </c>
      <c r="M32" s="110">
        <v>96400</v>
      </c>
      <c r="O32">
        <f t="shared" si="0"/>
        <v>42</v>
      </c>
    </row>
    <row r="33" spans="12:15" ht="15" customHeight="1" x14ac:dyDescent="0.3">
      <c r="L33" s="117" t="s">
        <v>347</v>
      </c>
      <c r="M33" s="110">
        <v>100000</v>
      </c>
      <c r="O33">
        <f t="shared" si="0"/>
        <v>42</v>
      </c>
    </row>
    <row r="34" spans="12:15" ht="15" customHeight="1" x14ac:dyDescent="0.3">
      <c r="L34" s="117" t="s">
        <v>348</v>
      </c>
      <c r="M34" s="110">
        <v>112700</v>
      </c>
      <c r="O34">
        <f t="shared" si="0"/>
        <v>42</v>
      </c>
    </row>
    <row r="35" spans="12:15" ht="15" customHeight="1" x14ac:dyDescent="0.3">
      <c r="L35" s="117" t="s">
        <v>349</v>
      </c>
      <c r="M35" s="110">
        <v>208500</v>
      </c>
      <c r="O35">
        <f t="shared" si="0"/>
        <v>42</v>
      </c>
    </row>
    <row r="36" spans="12:15" ht="15" customHeight="1" x14ac:dyDescent="0.3">
      <c r="L36" s="117" t="s">
        <v>350</v>
      </c>
      <c r="M36" s="110">
        <v>81900</v>
      </c>
      <c r="O36">
        <f t="shared" si="0"/>
        <v>43</v>
      </c>
    </row>
    <row r="37" spans="12:15" ht="15" customHeight="1" x14ac:dyDescent="0.3">
      <c r="L37" s="117" t="s">
        <v>351</v>
      </c>
      <c r="M37" s="110">
        <v>138400</v>
      </c>
      <c r="O37">
        <f t="shared" si="0"/>
        <v>44</v>
      </c>
    </row>
    <row r="38" spans="12:15" ht="15" customHeight="1" x14ac:dyDescent="0.3">
      <c r="L38" s="117" t="s">
        <v>352</v>
      </c>
      <c r="M38" s="110">
        <v>24000</v>
      </c>
      <c r="O38">
        <f t="shared" si="0"/>
        <v>44</v>
      </c>
    </row>
    <row r="39" spans="12:15" ht="15" customHeight="1" x14ac:dyDescent="0.3">
      <c r="L39" s="117" t="s">
        <v>353</v>
      </c>
      <c r="M39" s="110">
        <v>0</v>
      </c>
      <c r="O39">
        <f t="shared" si="0"/>
        <v>44</v>
      </c>
    </row>
    <row r="40" spans="12:15" ht="15" customHeight="1" x14ac:dyDescent="0.3">
      <c r="L40" s="117" t="s">
        <v>354</v>
      </c>
      <c r="M40" s="110">
        <v>30000</v>
      </c>
      <c r="O40">
        <f t="shared" si="0"/>
        <v>44</v>
      </c>
    </row>
    <row r="41" spans="12:15" ht="15" customHeight="1" x14ac:dyDescent="0.3">
      <c r="L41" s="106" t="s">
        <v>314</v>
      </c>
      <c r="M41" s="110">
        <v>2293100</v>
      </c>
    </row>
    <row r="42" spans="12:15" ht="15" customHeight="1" x14ac:dyDescent="0.3">
      <c r="L42" s="117" t="s">
        <v>355</v>
      </c>
      <c r="M42" s="110">
        <v>115000</v>
      </c>
      <c r="O42">
        <f t="shared" si="0"/>
        <v>45</v>
      </c>
    </row>
    <row r="43" spans="12:15" ht="15" customHeight="1" x14ac:dyDescent="0.3">
      <c r="L43" s="117" t="s">
        <v>356</v>
      </c>
      <c r="M43" s="110">
        <v>132000</v>
      </c>
      <c r="O43">
        <f t="shared" si="0"/>
        <v>45</v>
      </c>
    </row>
    <row r="44" spans="12:15" ht="15" customHeight="1" x14ac:dyDescent="0.3">
      <c r="L44" s="117" t="s">
        <v>357</v>
      </c>
      <c r="M44" s="110">
        <v>244500</v>
      </c>
      <c r="O44">
        <f t="shared" si="0"/>
        <v>45</v>
      </c>
    </row>
    <row r="45" spans="12:15" ht="15" customHeight="1" x14ac:dyDescent="0.3">
      <c r="L45" s="117" t="s">
        <v>358</v>
      </c>
      <c r="M45" s="110">
        <v>112700</v>
      </c>
      <c r="O45">
        <f t="shared" si="0"/>
        <v>45</v>
      </c>
    </row>
    <row r="46" spans="12:15" ht="15" customHeight="1" x14ac:dyDescent="0.3">
      <c r="L46" s="117" t="s">
        <v>359</v>
      </c>
      <c r="M46" s="110">
        <v>116600</v>
      </c>
      <c r="O46">
        <f t="shared" si="0"/>
        <v>46</v>
      </c>
    </row>
    <row r="47" spans="12:15" ht="15" customHeight="1" x14ac:dyDescent="0.3">
      <c r="L47" s="117" t="s">
        <v>360</v>
      </c>
      <c r="M47" s="110">
        <v>302800</v>
      </c>
      <c r="O47">
        <f t="shared" si="0"/>
        <v>46</v>
      </c>
    </row>
    <row r="48" spans="12:15" ht="15" customHeight="1" x14ac:dyDescent="0.3">
      <c r="L48" s="117" t="s">
        <v>361</v>
      </c>
      <c r="M48" s="110">
        <v>160000</v>
      </c>
      <c r="O48">
        <f t="shared" si="0"/>
        <v>46</v>
      </c>
    </row>
    <row r="49" spans="12:15" ht="15" customHeight="1" x14ac:dyDescent="0.3">
      <c r="L49" s="117" t="s">
        <v>362</v>
      </c>
      <c r="M49" s="110">
        <v>96700</v>
      </c>
      <c r="O49">
        <f t="shared" si="0"/>
        <v>46</v>
      </c>
    </row>
    <row r="50" spans="12:15" ht="15" customHeight="1" x14ac:dyDescent="0.3">
      <c r="L50" s="117" t="s">
        <v>363</v>
      </c>
      <c r="M50" s="110">
        <v>65000</v>
      </c>
      <c r="O50">
        <f t="shared" si="0"/>
        <v>46</v>
      </c>
    </row>
    <row r="51" spans="12:15" ht="15" customHeight="1" x14ac:dyDescent="0.3">
      <c r="L51" s="117" t="s">
        <v>364</v>
      </c>
      <c r="M51" s="110">
        <v>56900</v>
      </c>
      <c r="O51">
        <f t="shared" si="0"/>
        <v>47</v>
      </c>
    </row>
    <row r="52" spans="12:15" ht="15" customHeight="1" x14ac:dyDescent="0.3">
      <c r="L52" s="117" t="s">
        <v>365</v>
      </c>
      <c r="M52" s="110">
        <v>114000</v>
      </c>
      <c r="O52">
        <f t="shared" si="0"/>
        <v>47</v>
      </c>
    </row>
    <row r="53" spans="12:15" ht="15" customHeight="1" x14ac:dyDescent="0.3">
      <c r="L53" s="117" t="s">
        <v>366</v>
      </c>
      <c r="M53" s="110">
        <v>166500</v>
      </c>
      <c r="O53">
        <f t="shared" si="0"/>
        <v>47</v>
      </c>
    </row>
    <row r="54" spans="12:15" ht="15" customHeight="1" x14ac:dyDescent="0.3">
      <c r="L54" s="117" t="s">
        <v>367</v>
      </c>
      <c r="M54" s="110">
        <v>209600</v>
      </c>
      <c r="O54">
        <f t="shared" si="0"/>
        <v>47</v>
      </c>
    </row>
    <row r="55" spans="12:15" ht="15" customHeight="1" x14ac:dyDescent="0.3">
      <c r="L55" s="117" t="s">
        <v>368</v>
      </c>
      <c r="M55" s="110">
        <v>136700</v>
      </c>
      <c r="O55">
        <f t="shared" si="0"/>
        <v>48</v>
      </c>
    </row>
    <row r="56" spans="12:15" ht="15" customHeight="1" x14ac:dyDescent="0.3">
      <c r="L56" s="117" t="s">
        <v>369</v>
      </c>
      <c r="M56" s="110">
        <v>98000</v>
      </c>
      <c r="O56">
        <f t="shared" si="0"/>
        <v>48</v>
      </c>
    </row>
    <row r="57" spans="12:15" ht="15" customHeight="1" x14ac:dyDescent="0.3">
      <c r="L57" s="117" t="s">
        <v>370</v>
      </c>
      <c r="M57" s="110">
        <v>166100</v>
      </c>
      <c r="O57">
        <f t="shared" si="0"/>
        <v>48</v>
      </c>
    </row>
    <row r="58" spans="12:15" ht="15" customHeight="1" x14ac:dyDescent="0.3">
      <c r="L58" s="106" t="s">
        <v>315</v>
      </c>
      <c r="M58" s="110">
        <v>1442100</v>
      </c>
    </row>
    <row r="59" spans="12:15" ht="15" customHeight="1" x14ac:dyDescent="0.3">
      <c r="L59" s="117" t="s">
        <v>371</v>
      </c>
      <c r="M59" s="110">
        <v>250800</v>
      </c>
      <c r="O59">
        <f t="shared" si="0"/>
        <v>49</v>
      </c>
    </row>
    <row r="60" spans="12:15" ht="15" customHeight="1" x14ac:dyDescent="0.3">
      <c r="L60" s="117" t="s">
        <v>372</v>
      </c>
      <c r="M60" s="110">
        <v>115200</v>
      </c>
      <c r="O60">
        <f t="shared" si="0"/>
        <v>49</v>
      </c>
    </row>
    <row r="61" spans="12:15" ht="15" customHeight="1" x14ac:dyDescent="0.3">
      <c r="L61" s="117" t="s">
        <v>373</v>
      </c>
      <c r="M61" s="110">
        <v>83400</v>
      </c>
      <c r="O61">
        <f t="shared" si="0"/>
        <v>49</v>
      </c>
    </row>
    <row r="62" spans="12:15" ht="15" customHeight="1" x14ac:dyDescent="0.3">
      <c r="L62" s="117" t="s">
        <v>374</v>
      </c>
      <c r="M62" s="110">
        <v>233500</v>
      </c>
      <c r="O62">
        <f t="shared" si="0"/>
        <v>50</v>
      </c>
    </row>
    <row r="63" spans="12:15" ht="15" customHeight="1" x14ac:dyDescent="0.3">
      <c r="L63" s="117" t="s">
        <v>375</v>
      </c>
      <c r="M63" s="110">
        <v>145200</v>
      </c>
      <c r="O63">
        <f t="shared" si="0"/>
        <v>51</v>
      </c>
    </row>
    <row r="64" spans="12:15" ht="15" customHeight="1" x14ac:dyDescent="0.3">
      <c r="L64" s="117" t="s">
        <v>376</v>
      </c>
      <c r="M64" s="110">
        <v>116500</v>
      </c>
      <c r="O64">
        <f t="shared" si="0"/>
        <v>51</v>
      </c>
    </row>
    <row r="65" spans="12:15" ht="15" customHeight="1" x14ac:dyDescent="0.3">
      <c r="L65" s="117" t="s">
        <v>377</v>
      </c>
      <c r="M65" s="110">
        <v>497500</v>
      </c>
      <c r="O65">
        <f t="shared" si="0"/>
        <v>51</v>
      </c>
    </row>
    <row r="66" spans="12:15" ht="15" customHeight="1" x14ac:dyDescent="0.3">
      <c r="L66" s="107" t="s">
        <v>78</v>
      </c>
      <c r="M66" s="109">
        <v>10867380</v>
      </c>
    </row>
    <row r="67" spans="12:15" ht="15" customHeight="1" x14ac:dyDescent="0.3">
      <c r="M67"/>
    </row>
  </sheetData>
  <pageMargins left="0.7" right="0.7" top="0.75" bottom="0.75" header="0" footer="0"/>
  <pageSetup orientation="landscape"/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baseColWidth="10" defaultColWidth="11.19921875" defaultRowHeight="15" customHeight="1" x14ac:dyDescent="0.3"/>
  <cols>
    <col min="1" max="26" width="10.5" customWidth="1"/>
  </cols>
  <sheetData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D1006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11.19921875" defaultRowHeight="15" customHeight="1" x14ac:dyDescent="0.3"/>
  <cols>
    <col min="1" max="1" width="14.69921875" customWidth="1"/>
    <col min="2" max="2" width="18.5" customWidth="1"/>
    <col min="3" max="3" width="21.3984375" customWidth="1"/>
    <col min="4" max="26" width="10.5" customWidth="1"/>
  </cols>
  <sheetData>
    <row r="1" spans="1:4" ht="15.75" customHeight="1" x14ac:dyDescent="0.3">
      <c r="A1" s="53" t="s">
        <v>202</v>
      </c>
      <c r="B1" s="54" t="s">
        <v>203</v>
      </c>
      <c r="C1" s="54" t="s">
        <v>204</v>
      </c>
      <c r="D1" s="55" t="s">
        <v>205</v>
      </c>
    </row>
    <row r="2" spans="1:4" ht="15.75" customHeight="1" x14ac:dyDescent="0.3">
      <c r="A2" s="56" t="s">
        <v>206</v>
      </c>
      <c r="B2" s="57">
        <f>'CAJAS Y PROMOCIONES '!G13</f>
        <v>25400</v>
      </c>
      <c r="C2" s="56">
        <f>FLUJO!E2</f>
        <v>8</v>
      </c>
      <c r="D2" s="56">
        <f t="shared" ref="D2:D11" si="0">B2*C2</f>
        <v>203200</v>
      </c>
    </row>
    <row r="3" spans="1:4" ht="15.75" customHeight="1" x14ac:dyDescent="0.3">
      <c r="A3" s="56" t="s">
        <v>207</v>
      </c>
      <c r="B3" s="57">
        <f>'CAJAS Y PROMOCIONES '!G32</f>
        <v>31500</v>
      </c>
      <c r="C3" s="56">
        <f>FLUJO!E3</f>
        <v>10</v>
      </c>
      <c r="D3" s="56">
        <f t="shared" si="0"/>
        <v>315000</v>
      </c>
    </row>
    <row r="4" spans="1:4" ht="15.75" customHeight="1" x14ac:dyDescent="0.3">
      <c r="A4" s="56" t="s">
        <v>208</v>
      </c>
      <c r="B4" s="57">
        <f>'CAJAS Y PROMOCIONES '!G59</f>
        <v>81200</v>
      </c>
      <c r="C4" s="56">
        <f>FLUJO!E4</f>
        <v>6</v>
      </c>
      <c r="D4" s="56">
        <f t="shared" si="0"/>
        <v>487200</v>
      </c>
    </row>
    <row r="5" spans="1:4" ht="15.75" customHeight="1" x14ac:dyDescent="0.3">
      <c r="A5" s="56" t="s">
        <v>209</v>
      </c>
      <c r="B5" s="57">
        <f>'CAJAS Y PROMOCIONES '!G86</f>
        <v>33900</v>
      </c>
      <c r="C5" s="56">
        <f>FLUJO!E5</f>
        <v>3</v>
      </c>
      <c r="D5" s="56">
        <f t="shared" si="0"/>
        <v>101700</v>
      </c>
    </row>
    <row r="6" spans="1:4" ht="15.75" customHeight="1" x14ac:dyDescent="0.3">
      <c r="A6" s="56" t="s">
        <v>210</v>
      </c>
      <c r="B6" s="57">
        <f>'CAJAS Y PROMOCIONES '!G100</f>
        <v>15400</v>
      </c>
      <c r="C6" s="56">
        <f>FLUJO!E6</f>
        <v>2</v>
      </c>
      <c r="D6" s="56">
        <f t="shared" si="0"/>
        <v>30800</v>
      </c>
    </row>
    <row r="7" spans="1:4" ht="15.75" customHeight="1" x14ac:dyDescent="0.3">
      <c r="A7" s="56" t="s">
        <v>211</v>
      </c>
      <c r="B7" s="57">
        <f>'CAJAS Y PROMOCIONES '!G73</f>
        <v>21600</v>
      </c>
      <c r="C7" s="56">
        <f>FLUJO!E7</f>
        <v>0</v>
      </c>
      <c r="D7" s="56">
        <f t="shared" si="0"/>
        <v>0</v>
      </c>
    </row>
    <row r="8" spans="1:4" ht="15.75" customHeight="1" x14ac:dyDescent="0.3">
      <c r="A8" s="56" t="s">
        <v>212</v>
      </c>
      <c r="B8" s="57">
        <f>'CAJAS Y PROMOCIONES '!E106</f>
        <v>10000</v>
      </c>
      <c r="C8" s="56">
        <f>FLUJO!E8</f>
        <v>25</v>
      </c>
      <c r="D8" s="57">
        <f t="shared" si="0"/>
        <v>250000</v>
      </c>
    </row>
    <row r="9" spans="1:4" ht="15.75" customHeight="1" x14ac:dyDescent="0.3">
      <c r="A9" s="56" t="s">
        <v>213</v>
      </c>
      <c r="B9" s="57">
        <f>'CAJAS Y PROMOCIONES '!E109</f>
        <v>10000</v>
      </c>
      <c r="C9" s="56">
        <f>FLUJO!E9</f>
        <v>31</v>
      </c>
      <c r="D9" s="57">
        <f t="shared" si="0"/>
        <v>310000</v>
      </c>
    </row>
    <row r="10" spans="1:4" ht="15.75" customHeight="1" x14ac:dyDescent="0.3">
      <c r="A10" s="56" t="s">
        <v>214</v>
      </c>
      <c r="B10" s="57">
        <f>'CAJAS Y PROMOCIONES '!E110</f>
        <v>19900</v>
      </c>
      <c r="C10" s="56">
        <f>FLUJO!E10</f>
        <v>19</v>
      </c>
      <c r="D10" s="57">
        <f t="shared" si="0"/>
        <v>378100</v>
      </c>
    </row>
    <row r="11" spans="1:4" ht="15.75" customHeight="1" x14ac:dyDescent="0.3">
      <c r="A11" s="56" t="s">
        <v>215</v>
      </c>
      <c r="B11" s="57">
        <f>'CAJAS Y PROMOCIONES '!E108</f>
        <v>15000</v>
      </c>
      <c r="C11" s="56">
        <f>FLUJO!E11</f>
        <v>0</v>
      </c>
      <c r="D11" s="57">
        <f t="shared" si="0"/>
        <v>0</v>
      </c>
    </row>
    <row r="12" spans="1:4" ht="15.75" customHeight="1" x14ac:dyDescent="0.3">
      <c r="A12" s="56" t="s">
        <v>216</v>
      </c>
      <c r="B12" s="57">
        <f>'CAJAS Y PROMOCIONES '!E116</f>
        <v>10000</v>
      </c>
      <c r="C12" s="56">
        <f>FLUJO!E18</f>
        <v>4</v>
      </c>
      <c r="D12" s="57">
        <f>'CONTABILIDAD '!$C12*'CONTABILIDAD '!$B12</f>
        <v>40000</v>
      </c>
    </row>
    <row r="13" spans="1:4" ht="15.75" customHeight="1" x14ac:dyDescent="0.3">
      <c r="A13" s="56" t="s">
        <v>217</v>
      </c>
      <c r="B13" s="57">
        <f>'CAJAS Y PROMOCIONES '!E115</f>
        <v>16000</v>
      </c>
      <c r="C13" s="56">
        <f>FLUJO!$E13</f>
        <v>5.0999999999999996</v>
      </c>
      <c r="D13" s="57">
        <f>'CONTABILIDAD '!$C13*'CONTABILIDAD '!$B13</f>
        <v>81600</v>
      </c>
    </row>
    <row r="14" spans="1:4" ht="15.75" customHeight="1" x14ac:dyDescent="0.3">
      <c r="A14" s="56" t="s">
        <v>218</v>
      </c>
      <c r="B14" s="57">
        <f>'CAJAS Y PROMOCIONES '!E113</f>
        <v>16000</v>
      </c>
      <c r="C14" s="56">
        <f>FLUJO!$E14</f>
        <v>2</v>
      </c>
      <c r="D14" s="57">
        <f>'CONTABILIDAD '!$C14*'CONTABILIDAD '!$B14</f>
        <v>32000</v>
      </c>
    </row>
    <row r="15" spans="1:4" ht="15.75" customHeight="1" x14ac:dyDescent="0.3">
      <c r="A15" s="56" t="s">
        <v>219</v>
      </c>
      <c r="B15" s="57">
        <f>'CAJAS Y PROMOCIONES '!E112</f>
        <v>24000</v>
      </c>
      <c r="C15" s="56">
        <f>FLUJO!$E15</f>
        <v>8.4499999999999993</v>
      </c>
      <c r="D15" s="57">
        <f>'CONTABILIDAD '!$C15*'CONTABILIDAD '!$B15</f>
        <v>202799.99999999997</v>
      </c>
    </row>
    <row r="16" spans="1:4" ht="15.75" customHeight="1" x14ac:dyDescent="0.3">
      <c r="A16" s="56" t="s">
        <v>220</v>
      </c>
      <c r="B16" s="57">
        <f>'CAJAS Y PROMOCIONES '!E111</f>
        <v>7500</v>
      </c>
      <c r="C16" s="56">
        <f>FLUJO!E12</f>
        <v>8.6</v>
      </c>
      <c r="D16" s="57">
        <f>'CONTABILIDAD '!$C16*'CONTABILIDAD '!$B16</f>
        <v>64500</v>
      </c>
    </row>
    <row r="17" spans="1:4" ht="15.75" customHeight="1" x14ac:dyDescent="0.3">
      <c r="A17" s="56" t="s">
        <v>221</v>
      </c>
      <c r="B17" s="57">
        <f>'CAJAS Y PROMOCIONES '!E114</f>
        <v>25000</v>
      </c>
      <c r="C17" s="56">
        <f>FLUJO!E16</f>
        <v>2</v>
      </c>
      <c r="D17" s="57">
        <f>'CONTABILIDAD '!$C17*'CONTABILIDAD '!$B17</f>
        <v>50000</v>
      </c>
    </row>
    <row r="18" spans="1:4" ht="15.75" customHeight="1" x14ac:dyDescent="0.3">
      <c r="A18" s="56" t="s">
        <v>222</v>
      </c>
      <c r="B18" s="57">
        <f>'CAJAS Y PROMOCIONES '!E107</f>
        <v>15000</v>
      </c>
      <c r="C18" s="56">
        <f>FLUJO!E17</f>
        <v>1</v>
      </c>
      <c r="D18" s="57">
        <f>B18*C18</f>
        <v>15000</v>
      </c>
    </row>
    <row r="19" spans="1:4" ht="15.75" customHeight="1" x14ac:dyDescent="0.3">
      <c r="A19" s="56"/>
      <c r="B19" s="56"/>
      <c r="C19" s="56"/>
      <c r="D19" s="56">
        <f>SUM(D1:D18)</f>
        <v>2561900</v>
      </c>
    </row>
    <row r="20" spans="1:4" ht="15.75" customHeight="1" x14ac:dyDescent="0.3"/>
    <row r="21" spans="1:4" ht="15.75" customHeight="1" x14ac:dyDescent="0.3"/>
    <row r="22" spans="1:4" ht="15.75" customHeight="1" x14ac:dyDescent="0.3"/>
    <row r="23" spans="1:4" ht="15.75" customHeight="1" x14ac:dyDescent="0.3"/>
    <row r="24" spans="1:4" ht="15.75" customHeight="1" x14ac:dyDescent="0.3"/>
    <row r="25" spans="1:4" ht="15.75" customHeight="1" x14ac:dyDescent="0.3"/>
    <row r="26" spans="1:4" ht="15.75" customHeight="1" x14ac:dyDescent="0.3"/>
    <row r="27" spans="1:4" ht="15.75" customHeight="1" x14ac:dyDescent="0.3"/>
    <row r="28" spans="1:4" ht="15.75" customHeight="1" x14ac:dyDescent="0.3"/>
    <row r="29" spans="1:4" ht="15.75" customHeight="1" x14ac:dyDescent="0.3"/>
    <row r="30" spans="1:4" ht="15.75" customHeight="1" x14ac:dyDescent="0.3"/>
    <row r="31" spans="1:4" ht="15.75" customHeight="1" x14ac:dyDescent="0.3"/>
    <row r="32" spans="1:4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  <row r="1001" ht="15.75" customHeight="1" x14ac:dyDescent="0.3"/>
    <row r="1002" ht="15.75" customHeight="1" x14ac:dyDescent="0.3"/>
    <row r="1003" ht="15.75" customHeight="1" x14ac:dyDescent="0.3"/>
    <row r="1004" ht="15.75" customHeight="1" x14ac:dyDescent="0.3"/>
    <row r="1005" ht="15.75" customHeight="1" x14ac:dyDescent="0.3"/>
    <row r="1006" ht="15.75" customHeight="1" x14ac:dyDescent="0.3"/>
  </sheetData>
  <pageMargins left="0.7" right="0.7" top="0.75" bottom="0.75" header="0" footer="0"/>
  <pageSetup orientation="landscape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>
    <outlinePr summaryBelow="0" summaryRight="0"/>
  </sheetPr>
  <dimension ref="A1:V134"/>
  <sheetViews>
    <sheetView workbookViewId="0"/>
  </sheetViews>
  <sheetFormatPr baseColWidth="10" defaultColWidth="11.19921875" defaultRowHeight="15" customHeight="1" x14ac:dyDescent="0.3"/>
  <cols>
    <col min="1" max="1" width="12.69921875" customWidth="1"/>
    <col min="2" max="2" width="14.5" customWidth="1"/>
    <col min="3" max="3" width="49.3984375" customWidth="1"/>
    <col min="4" max="5" width="13.59765625" customWidth="1"/>
    <col min="6" max="6" width="22.69921875" customWidth="1"/>
    <col min="7" max="7" width="21.5" customWidth="1"/>
    <col min="8" max="8" width="18" customWidth="1"/>
    <col min="9" max="9" width="17.19921875" customWidth="1"/>
    <col min="10" max="10" width="18.09765625" customWidth="1"/>
    <col min="12" max="12" width="16.3984375" customWidth="1"/>
    <col min="14" max="14" width="16.8984375" customWidth="1"/>
    <col min="16" max="16" width="14.59765625" customWidth="1"/>
    <col min="18" max="18" width="17.5" customWidth="1"/>
  </cols>
  <sheetData>
    <row r="1" spans="2:12" ht="15" customHeight="1" x14ac:dyDescent="0.55000000000000004">
      <c r="B1" s="121" t="s">
        <v>206</v>
      </c>
      <c r="C1" s="122"/>
      <c r="D1" s="122"/>
      <c r="E1" s="122"/>
      <c r="F1" s="123"/>
      <c r="G1" s="58"/>
    </row>
    <row r="2" spans="2:12" ht="15.6" x14ac:dyDescent="0.3">
      <c r="B2" s="59" t="s">
        <v>223</v>
      </c>
      <c r="C2" s="59" t="s">
        <v>224</v>
      </c>
      <c r="D2" s="59" t="s">
        <v>225</v>
      </c>
      <c r="E2" s="59" t="s">
        <v>226</v>
      </c>
      <c r="F2" s="59" t="s">
        <v>227</v>
      </c>
      <c r="G2" s="58"/>
      <c r="J2" s="60"/>
    </row>
    <row r="3" spans="2:12" ht="15.6" x14ac:dyDescent="0.3">
      <c r="B3" s="61">
        <v>1</v>
      </c>
      <c r="C3" s="45" t="s">
        <v>228</v>
      </c>
      <c r="D3" s="62">
        <v>2135</v>
      </c>
      <c r="E3" s="61">
        <v>1</v>
      </c>
      <c r="F3" s="62">
        <f t="shared" ref="F3:F12" si="0">D3*E3</f>
        <v>2135</v>
      </c>
      <c r="G3" s="58"/>
      <c r="J3" s="60"/>
    </row>
    <row r="4" spans="2:12" ht="15.6" x14ac:dyDescent="0.3">
      <c r="B4" s="61">
        <v>2</v>
      </c>
      <c r="C4" s="45" t="s">
        <v>229</v>
      </c>
      <c r="D4" s="62">
        <v>631</v>
      </c>
      <c r="E4" s="61">
        <v>2</v>
      </c>
      <c r="F4" s="62">
        <f t="shared" si="0"/>
        <v>1262</v>
      </c>
      <c r="G4" s="58"/>
      <c r="J4" s="60"/>
      <c r="L4" s="4" t="s">
        <v>130</v>
      </c>
    </row>
    <row r="5" spans="2:12" ht="15.6" x14ac:dyDescent="0.3">
      <c r="B5" s="61">
        <v>3</v>
      </c>
      <c r="C5" s="45" t="s">
        <v>230</v>
      </c>
      <c r="D5" s="62">
        <v>631</v>
      </c>
      <c r="E5" s="61">
        <v>2</v>
      </c>
      <c r="F5" s="62">
        <f t="shared" si="0"/>
        <v>1262</v>
      </c>
      <c r="G5" s="58"/>
      <c r="L5" s="4" t="s">
        <v>131</v>
      </c>
    </row>
    <row r="6" spans="2:12" ht="15.6" x14ac:dyDescent="0.3">
      <c r="B6" s="61">
        <v>4</v>
      </c>
      <c r="C6" s="45" t="s">
        <v>231</v>
      </c>
      <c r="D6" s="62">
        <v>609</v>
      </c>
      <c r="E6" s="61">
        <v>5</v>
      </c>
      <c r="F6" s="62">
        <f t="shared" si="0"/>
        <v>3045</v>
      </c>
      <c r="G6" s="58"/>
      <c r="L6" s="4" t="s">
        <v>132</v>
      </c>
    </row>
    <row r="7" spans="2:12" ht="15.6" x14ac:dyDescent="0.3">
      <c r="B7" s="61">
        <v>5</v>
      </c>
      <c r="C7" s="45" t="s">
        <v>232</v>
      </c>
      <c r="D7" s="62">
        <v>1333</v>
      </c>
      <c r="E7" s="61">
        <v>1</v>
      </c>
      <c r="F7" s="62">
        <f t="shared" si="0"/>
        <v>1333</v>
      </c>
      <c r="G7" s="58"/>
      <c r="L7" s="4" t="s">
        <v>133</v>
      </c>
    </row>
    <row r="8" spans="2:12" ht="15.6" x14ac:dyDescent="0.3">
      <c r="B8" s="61">
        <v>6</v>
      </c>
      <c r="C8" s="45" t="s">
        <v>233</v>
      </c>
      <c r="D8" s="62">
        <v>2672</v>
      </c>
      <c r="E8" s="61">
        <v>1</v>
      </c>
      <c r="F8" s="62">
        <f t="shared" si="0"/>
        <v>2672</v>
      </c>
      <c r="G8" s="58"/>
      <c r="L8" s="4" t="s">
        <v>234</v>
      </c>
    </row>
    <row r="9" spans="2:12" ht="15.6" x14ac:dyDescent="0.3">
      <c r="B9" s="61">
        <v>7</v>
      </c>
      <c r="C9" s="45" t="s">
        <v>235</v>
      </c>
      <c r="D9" s="62">
        <v>1806</v>
      </c>
      <c r="E9" s="61">
        <v>2</v>
      </c>
      <c r="F9" s="62">
        <f t="shared" si="0"/>
        <v>3612</v>
      </c>
      <c r="G9" s="58"/>
      <c r="L9" s="43" t="s">
        <v>236</v>
      </c>
    </row>
    <row r="10" spans="2:12" ht="15.6" x14ac:dyDescent="0.3">
      <c r="B10" s="61">
        <v>8</v>
      </c>
      <c r="C10" s="45" t="s">
        <v>237</v>
      </c>
      <c r="D10" s="62">
        <v>1305</v>
      </c>
      <c r="E10" s="61">
        <v>4</v>
      </c>
      <c r="F10" s="62">
        <f t="shared" si="0"/>
        <v>5220</v>
      </c>
      <c r="G10" s="58"/>
      <c r="L10" s="43" t="s">
        <v>238</v>
      </c>
    </row>
    <row r="11" spans="2:12" ht="15.6" x14ac:dyDescent="0.3">
      <c r="B11" s="61">
        <v>9</v>
      </c>
      <c r="C11" s="45" t="s">
        <v>239</v>
      </c>
      <c r="D11" s="62">
        <v>938</v>
      </c>
      <c r="E11" s="61">
        <v>2</v>
      </c>
      <c r="F11" s="62">
        <f t="shared" si="0"/>
        <v>1876</v>
      </c>
      <c r="G11" s="58"/>
      <c r="L11" s="43" t="s">
        <v>240</v>
      </c>
    </row>
    <row r="12" spans="2:12" ht="15.6" x14ac:dyDescent="0.3">
      <c r="B12" s="61">
        <v>10</v>
      </c>
      <c r="C12" s="63" t="s">
        <v>241</v>
      </c>
      <c r="D12" s="64">
        <v>403</v>
      </c>
      <c r="E12" s="65">
        <v>4</v>
      </c>
      <c r="F12" s="64">
        <f t="shared" si="0"/>
        <v>1612</v>
      </c>
      <c r="G12" s="58"/>
      <c r="L12" s="44" t="s">
        <v>242</v>
      </c>
    </row>
    <row r="13" spans="2:12" ht="15.6" x14ac:dyDescent="0.3">
      <c r="B13" s="58"/>
      <c r="C13" s="66" t="s">
        <v>205</v>
      </c>
      <c r="D13" s="67"/>
      <c r="E13" s="68">
        <f>SUM(E3:E10)</f>
        <v>18</v>
      </c>
      <c r="F13" s="69">
        <f>SUM(F3:F12)</f>
        <v>24029</v>
      </c>
      <c r="G13" s="60">
        <v>25400</v>
      </c>
      <c r="L13" s="38" t="s">
        <v>243</v>
      </c>
    </row>
    <row r="14" spans="2:12" ht="15.6" x14ac:dyDescent="0.3">
      <c r="B14" s="58"/>
      <c r="C14" s="58"/>
      <c r="D14" s="58"/>
      <c r="E14" s="58"/>
      <c r="F14" s="58"/>
      <c r="G14" s="70"/>
      <c r="L14" s="38" t="s">
        <v>244</v>
      </c>
    </row>
    <row r="15" spans="2:12" ht="15.6" x14ac:dyDescent="0.3">
      <c r="B15" s="58"/>
      <c r="C15" s="58"/>
      <c r="D15" s="58"/>
      <c r="E15" s="58"/>
      <c r="F15" s="58"/>
      <c r="G15" s="58"/>
      <c r="L15" s="38" t="s">
        <v>245</v>
      </c>
    </row>
    <row r="16" spans="2:12" ht="15" customHeight="1" x14ac:dyDescent="0.55000000000000004">
      <c r="B16" s="121" t="s">
        <v>246</v>
      </c>
      <c r="C16" s="122"/>
      <c r="D16" s="122"/>
      <c r="E16" s="122"/>
      <c r="F16" s="123"/>
      <c r="G16" s="58"/>
      <c r="L16" s="38" t="s">
        <v>247</v>
      </c>
    </row>
    <row r="17" spans="2:12" ht="15.6" x14ac:dyDescent="0.3">
      <c r="B17" s="59" t="s">
        <v>223</v>
      </c>
      <c r="C17" s="59" t="s">
        <v>224</v>
      </c>
      <c r="D17" s="59" t="s">
        <v>225</v>
      </c>
      <c r="E17" s="59" t="s">
        <v>226</v>
      </c>
      <c r="F17" s="59" t="s">
        <v>227</v>
      </c>
      <c r="G17" s="58"/>
      <c r="L17" s="38" t="s">
        <v>248</v>
      </c>
    </row>
    <row r="18" spans="2:12" ht="15.6" x14ac:dyDescent="0.3">
      <c r="B18" s="61">
        <v>1</v>
      </c>
      <c r="C18" s="45" t="s">
        <v>249</v>
      </c>
      <c r="D18" s="62">
        <v>3568</v>
      </c>
      <c r="E18" s="61">
        <v>1</v>
      </c>
      <c r="F18" s="62">
        <f t="shared" ref="F18:F31" si="1">D18*E18</f>
        <v>3568</v>
      </c>
      <c r="G18" s="58"/>
      <c r="L18" s="38" t="s">
        <v>250</v>
      </c>
    </row>
    <row r="19" spans="2:12" ht="15.6" x14ac:dyDescent="0.3">
      <c r="B19" s="61">
        <v>2</v>
      </c>
      <c r="C19" s="45" t="s">
        <v>251</v>
      </c>
      <c r="D19" s="62">
        <v>2672</v>
      </c>
      <c r="E19" s="61">
        <v>2</v>
      </c>
      <c r="F19" s="62">
        <f t="shared" si="1"/>
        <v>5344</v>
      </c>
      <c r="G19" s="58"/>
    </row>
    <row r="20" spans="2:12" ht="15.6" x14ac:dyDescent="0.3">
      <c r="B20" s="61">
        <v>3</v>
      </c>
      <c r="C20" s="45" t="s">
        <v>252</v>
      </c>
      <c r="D20" s="62">
        <v>1333</v>
      </c>
      <c r="E20" s="61">
        <v>2</v>
      </c>
      <c r="F20" s="62">
        <f t="shared" si="1"/>
        <v>2666</v>
      </c>
      <c r="G20" s="58"/>
    </row>
    <row r="21" spans="2:12" ht="15.6" x14ac:dyDescent="0.3">
      <c r="B21" s="61">
        <v>4</v>
      </c>
      <c r="C21" s="45" t="s">
        <v>253</v>
      </c>
      <c r="D21" s="62">
        <v>342</v>
      </c>
      <c r="E21" s="61">
        <v>2</v>
      </c>
      <c r="F21" s="62">
        <f t="shared" si="1"/>
        <v>684</v>
      </c>
      <c r="G21" s="58"/>
      <c r="L21" s="4" t="s">
        <v>130</v>
      </c>
    </row>
    <row r="22" spans="2:12" ht="15.6" x14ac:dyDescent="0.3">
      <c r="B22" s="61">
        <v>5</v>
      </c>
      <c r="C22" s="45" t="s">
        <v>229</v>
      </c>
      <c r="D22" s="62">
        <v>631</v>
      </c>
      <c r="E22" s="61">
        <v>2</v>
      </c>
      <c r="F22" s="62">
        <f t="shared" si="1"/>
        <v>1262</v>
      </c>
      <c r="G22" s="58"/>
      <c r="L22" s="4" t="s">
        <v>131</v>
      </c>
    </row>
    <row r="23" spans="2:12" ht="15.6" x14ac:dyDescent="0.3">
      <c r="B23" s="61">
        <v>6</v>
      </c>
      <c r="C23" s="45" t="s">
        <v>230</v>
      </c>
      <c r="D23" s="62">
        <v>631</v>
      </c>
      <c r="E23" s="61">
        <v>2</v>
      </c>
      <c r="F23" s="62">
        <f t="shared" si="1"/>
        <v>1262</v>
      </c>
      <c r="G23" s="58"/>
      <c r="L23" s="4" t="s">
        <v>132</v>
      </c>
    </row>
    <row r="24" spans="2:12" ht="15.6" x14ac:dyDescent="0.3">
      <c r="B24" s="61">
        <v>7</v>
      </c>
      <c r="C24" s="45" t="s">
        <v>254</v>
      </c>
      <c r="D24" s="62">
        <v>1427</v>
      </c>
      <c r="E24" s="61">
        <v>2</v>
      </c>
      <c r="F24" s="62">
        <f t="shared" si="1"/>
        <v>2854</v>
      </c>
      <c r="G24" s="58"/>
      <c r="L24" s="4" t="s">
        <v>133</v>
      </c>
    </row>
    <row r="25" spans="2:12" ht="15.6" x14ac:dyDescent="0.3">
      <c r="B25" s="61">
        <v>8</v>
      </c>
      <c r="C25" s="45" t="s">
        <v>231</v>
      </c>
      <c r="D25" s="62">
        <v>609</v>
      </c>
      <c r="E25" s="61">
        <v>4</v>
      </c>
      <c r="F25" s="62">
        <f t="shared" si="1"/>
        <v>2436</v>
      </c>
      <c r="G25" s="58"/>
      <c r="L25" s="43" t="s">
        <v>134</v>
      </c>
    </row>
    <row r="26" spans="2:12" ht="15.6" x14ac:dyDescent="0.3">
      <c r="B26" s="61">
        <v>9</v>
      </c>
      <c r="C26" s="45" t="s">
        <v>241</v>
      </c>
      <c r="D26" s="62">
        <v>427</v>
      </c>
      <c r="E26" s="61">
        <v>4</v>
      </c>
      <c r="F26" s="62">
        <f t="shared" si="1"/>
        <v>1708</v>
      </c>
      <c r="G26" s="58"/>
      <c r="L26" s="43" t="s">
        <v>135</v>
      </c>
    </row>
    <row r="27" spans="2:12" ht="15.6" x14ac:dyDescent="0.3">
      <c r="B27" s="61">
        <v>10</v>
      </c>
      <c r="C27" s="45" t="s">
        <v>255</v>
      </c>
      <c r="D27" s="62">
        <v>1353</v>
      </c>
      <c r="E27" s="61">
        <v>1</v>
      </c>
      <c r="F27" s="62">
        <f t="shared" si="1"/>
        <v>1353</v>
      </c>
      <c r="G27" s="58"/>
      <c r="L27" s="43" t="s">
        <v>136</v>
      </c>
    </row>
    <row r="28" spans="2:12" ht="15.6" x14ac:dyDescent="0.3">
      <c r="B28" s="61">
        <v>11</v>
      </c>
      <c r="C28" s="45" t="s">
        <v>256</v>
      </c>
      <c r="D28" s="62">
        <v>1883</v>
      </c>
      <c r="E28" s="61">
        <v>1</v>
      </c>
      <c r="F28" s="62">
        <f t="shared" si="1"/>
        <v>1883</v>
      </c>
      <c r="G28" s="58"/>
      <c r="L28" s="43" t="s">
        <v>137</v>
      </c>
    </row>
    <row r="29" spans="2:12" ht="15.6" x14ac:dyDescent="0.3">
      <c r="B29" s="61">
        <v>12</v>
      </c>
      <c r="C29" s="45" t="s">
        <v>257</v>
      </c>
      <c r="D29" s="62">
        <v>2443</v>
      </c>
      <c r="E29" s="61">
        <v>1</v>
      </c>
      <c r="F29" s="62">
        <f t="shared" si="1"/>
        <v>2443</v>
      </c>
      <c r="G29" s="58"/>
      <c r="L29" s="44" t="s">
        <v>138</v>
      </c>
    </row>
    <row r="30" spans="2:12" ht="15.6" x14ac:dyDescent="0.3">
      <c r="B30" s="61">
        <v>13</v>
      </c>
      <c r="C30" s="45" t="s">
        <v>258</v>
      </c>
      <c r="D30" s="62">
        <v>2207</v>
      </c>
      <c r="E30" s="61">
        <v>1</v>
      </c>
      <c r="F30" s="62">
        <f t="shared" si="1"/>
        <v>2207</v>
      </c>
      <c r="G30" s="58"/>
      <c r="L30" s="38" t="s">
        <v>139</v>
      </c>
    </row>
    <row r="31" spans="2:12" ht="15.6" x14ac:dyDescent="0.3">
      <c r="B31" s="61">
        <v>14</v>
      </c>
      <c r="C31" s="63" t="s">
        <v>259</v>
      </c>
      <c r="D31" s="64">
        <v>1358</v>
      </c>
      <c r="E31" s="65">
        <v>2</v>
      </c>
      <c r="F31" s="64">
        <f t="shared" si="1"/>
        <v>2716</v>
      </c>
      <c r="G31" s="58"/>
      <c r="L31" s="38" t="s">
        <v>140</v>
      </c>
    </row>
    <row r="32" spans="2:12" ht="15.6" x14ac:dyDescent="0.3">
      <c r="B32" s="58"/>
      <c r="C32" s="66" t="s">
        <v>205</v>
      </c>
      <c r="D32" s="69">
        <f t="shared" ref="D32:E32" si="2">SUM(D18:D31)</f>
        <v>20884</v>
      </c>
      <c r="E32" s="68">
        <f t="shared" si="2"/>
        <v>27</v>
      </c>
      <c r="F32" s="69">
        <f>SUM(F19:F31)</f>
        <v>28818</v>
      </c>
      <c r="G32" s="60">
        <v>31500</v>
      </c>
      <c r="L32" s="38" t="s">
        <v>141</v>
      </c>
    </row>
    <row r="33" spans="2:12" ht="15.6" x14ac:dyDescent="0.3">
      <c r="B33" s="58"/>
      <c r="C33" s="58"/>
      <c r="D33" s="58"/>
      <c r="E33" s="58"/>
      <c r="F33" s="58"/>
      <c r="G33" s="58"/>
      <c r="L33" s="38" t="s">
        <v>142</v>
      </c>
    </row>
    <row r="34" spans="2:12" ht="15.6" x14ac:dyDescent="0.3">
      <c r="B34" s="58"/>
      <c r="C34" s="58"/>
      <c r="D34" s="58"/>
      <c r="E34" s="58"/>
      <c r="F34" s="58"/>
      <c r="G34" s="58"/>
      <c r="L34" s="38" t="s">
        <v>143</v>
      </c>
    </row>
    <row r="35" spans="2:12" ht="15" customHeight="1" x14ac:dyDescent="0.55000000000000004">
      <c r="B35" s="121" t="s">
        <v>208</v>
      </c>
      <c r="C35" s="122"/>
      <c r="D35" s="122"/>
      <c r="E35" s="122"/>
      <c r="F35" s="123"/>
      <c r="G35" s="58"/>
      <c r="L35" s="38" t="s">
        <v>144</v>
      </c>
    </row>
    <row r="36" spans="2:12" ht="15.6" x14ac:dyDescent="0.3">
      <c r="B36" s="59" t="s">
        <v>223</v>
      </c>
      <c r="C36" s="71" t="s">
        <v>224</v>
      </c>
      <c r="D36" s="72" t="s">
        <v>225</v>
      </c>
      <c r="E36" s="72" t="s">
        <v>226</v>
      </c>
      <c r="F36" s="72" t="s">
        <v>227</v>
      </c>
      <c r="G36" s="58"/>
    </row>
    <row r="37" spans="2:12" ht="15.6" x14ac:dyDescent="0.3">
      <c r="B37" s="61">
        <v>1</v>
      </c>
      <c r="C37" s="73" t="s">
        <v>253</v>
      </c>
      <c r="D37" s="74">
        <v>342</v>
      </c>
      <c r="E37" s="75">
        <v>2</v>
      </c>
      <c r="F37" s="74">
        <f t="shared" ref="F37:F58" si="3">D37*E37</f>
        <v>684</v>
      </c>
      <c r="G37" s="58"/>
    </row>
    <row r="38" spans="2:12" ht="15.6" x14ac:dyDescent="0.3">
      <c r="B38" s="61">
        <v>2</v>
      </c>
      <c r="C38" s="73" t="s">
        <v>229</v>
      </c>
      <c r="D38" s="74">
        <v>631</v>
      </c>
      <c r="E38" s="75">
        <v>3</v>
      </c>
      <c r="F38" s="74">
        <f t="shared" si="3"/>
        <v>1893</v>
      </c>
      <c r="G38" s="58"/>
    </row>
    <row r="39" spans="2:12" ht="15.6" x14ac:dyDescent="0.3">
      <c r="B39" s="61">
        <v>3</v>
      </c>
      <c r="C39" s="73" t="s">
        <v>230</v>
      </c>
      <c r="D39" s="74">
        <v>631</v>
      </c>
      <c r="E39" s="75">
        <v>3</v>
      </c>
      <c r="F39" s="74">
        <f t="shared" si="3"/>
        <v>1893</v>
      </c>
      <c r="G39" s="58"/>
    </row>
    <row r="40" spans="2:12" ht="15.6" x14ac:dyDescent="0.3">
      <c r="B40" s="61">
        <v>4</v>
      </c>
      <c r="C40" s="73" t="s">
        <v>232</v>
      </c>
      <c r="D40" s="74">
        <v>1333</v>
      </c>
      <c r="E40" s="75">
        <v>3</v>
      </c>
      <c r="F40" s="74">
        <f t="shared" si="3"/>
        <v>3999</v>
      </c>
      <c r="G40" s="58"/>
    </row>
    <row r="41" spans="2:12" ht="15.6" x14ac:dyDescent="0.3">
      <c r="B41" s="61">
        <v>5</v>
      </c>
      <c r="C41" s="73" t="s">
        <v>260</v>
      </c>
      <c r="D41" s="74">
        <v>2207</v>
      </c>
      <c r="E41" s="75">
        <v>1</v>
      </c>
      <c r="F41" s="74">
        <f t="shared" si="3"/>
        <v>2207</v>
      </c>
      <c r="G41" s="58"/>
    </row>
    <row r="42" spans="2:12" ht="15.6" x14ac:dyDescent="0.3">
      <c r="B42" s="61">
        <v>6</v>
      </c>
      <c r="C42" s="73" t="s">
        <v>241</v>
      </c>
      <c r="D42" s="74">
        <v>427</v>
      </c>
      <c r="E42" s="75">
        <v>8</v>
      </c>
      <c r="F42" s="74">
        <f t="shared" si="3"/>
        <v>3416</v>
      </c>
      <c r="G42" s="58"/>
    </row>
    <row r="43" spans="2:12" ht="15.6" x14ac:dyDescent="0.3">
      <c r="B43" s="61">
        <v>7</v>
      </c>
      <c r="C43" s="73" t="s">
        <v>261</v>
      </c>
      <c r="D43" s="74">
        <v>4598</v>
      </c>
      <c r="E43" s="75">
        <v>1</v>
      </c>
      <c r="F43" s="74">
        <f t="shared" si="3"/>
        <v>4598</v>
      </c>
      <c r="G43" s="58"/>
    </row>
    <row r="44" spans="2:12" ht="15.6" x14ac:dyDescent="0.3">
      <c r="B44" s="61">
        <v>8</v>
      </c>
      <c r="C44" s="73" t="s">
        <v>262</v>
      </c>
      <c r="D44" s="74">
        <v>942</v>
      </c>
      <c r="E44" s="75">
        <v>1</v>
      </c>
      <c r="F44" s="74">
        <f t="shared" si="3"/>
        <v>942</v>
      </c>
      <c r="G44" s="58"/>
    </row>
    <row r="45" spans="2:12" ht="15.6" x14ac:dyDescent="0.3">
      <c r="B45" s="61">
        <v>9</v>
      </c>
      <c r="C45" s="73" t="s">
        <v>263</v>
      </c>
      <c r="D45" s="74">
        <v>609</v>
      </c>
      <c r="E45" s="75">
        <v>10</v>
      </c>
      <c r="F45" s="74">
        <f t="shared" si="3"/>
        <v>6090</v>
      </c>
      <c r="G45" s="58"/>
    </row>
    <row r="46" spans="2:12" ht="15.6" x14ac:dyDescent="0.3">
      <c r="B46" s="61">
        <v>10</v>
      </c>
      <c r="C46" s="73" t="s">
        <v>264</v>
      </c>
      <c r="D46" s="74">
        <v>1925</v>
      </c>
      <c r="E46" s="75">
        <v>1</v>
      </c>
      <c r="F46" s="74">
        <f t="shared" si="3"/>
        <v>1925</v>
      </c>
      <c r="G46" s="58"/>
    </row>
    <row r="47" spans="2:12" ht="15.6" x14ac:dyDescent="0.3">
      <c r="B47" s="61">
        <v>11</v>
      </c>
      <c r="C47" s="73" t="s">
        <v>265</v>
      </c>
      <c r="D47" s="74">
        <v>839</v>
      </c>
      <c r="E47" s="75">
        <v>2</v>
      </c>
      <c r="F47" s="74">
        <f t="shared" si="3"/>
        <v>1678</v>
      </c>
      <c r="G47" s="58"/>
    </row>
    <row r="48" spans="2:12" ht="15.6" x14ac:dyDescent="0.3">
      <c r="B48" s="61">
        <v>12</v>
      </c>
      <c r="C48" s="73" t="s">
        <v>266</v>
      </c>
      <c r="D48" s="74">
        <v>2443</v>
      </c>
      <c r="E48" s="75">
        <v>1</v>
      </c>
      <c r="F48" s="74">
        <f t="shared" si="3"/>
        <v>2443</v>
      </c>
      <c r="G48" s="58"/>
    </row>
    <row r="49" spans="2:7" ht="15.6" x14ac:dyDescent="0.3">
      <c r="B49" s="61">
        <v>13</v>
      </c>
      <c r="C49" s="73" t="s">
        <v>267</v>
      </c>
      <c r="D49" s="74">
        <v>760</v>
      </c>
      <c r="E49" s="75">
        <v>2</v>
      </c>
      <c r="F49" s="74">
        <f t="shared" si="3"/>
        <v>1520</v>
      </c>
      <c r="G49" s="58"/>
    </row>
    <row r="50" spans="2:7" ht="15.6" x14ac:dyDescent="0.3">
      <c r="B50" s="61">
        <v>14</v>
      </c>
      <c r="C50" s="73" t="s">
        <v>268</v>
      </c>
      <c r="D50" s="74">
        <v>2672</v>
      </c>
      <c r="E50" s="75">
        <v>1</v>
      </c>
      <c r="F50" s="74">
        <f t="shared" si="3"/>
        <v>2672</v>
      </c>
      <c r="G50" s="58"/>
    </row>
    <row r="51" spans="2:7" ht="15.6" x14ac:dyDescent="0.3">
      <c r="B51" s="61">
        <v>15</v>
      </c>
      <c r="C51" s="73" t="s">
        <v>269</v>
      </c>
      <c r="D51" s="74">
        <v>3568</v>
      </c>
      <c r="E51" s="75">
        <v>2</v>
      </c>
      <c r="F51" s="74">
        <f t="shared" si="3"/>
        <v>7136</v>
      </c>
      <c r="G51" s="58"/>
    </row>
    <row r="52" spans="2:7" ht="15.6" x14ac:dyDescent="0.3">
      <c r="B52" s="61">
        <v>16</v>
      </c>
      <c r="C52" s="73" t="s">
        <v>270</v>
      </c>
      <c r="D52" s="74">
        <v>1693</v>
      </c>
      <c r="E52" s="75">
        <v>1</v>
      </c>
      <c r="F52" s="74">
        <f t="shared" si="3"/>
        <v>1693</v>
      </c>
      <c r="G52" s="58"/>
    </row>
    <row r="53" spans="2:7" ht="15.6" x14ac:dyDescent="0.3">
      <c r="B53" s="61">
        <v>17</v>
      </c>
      <c r="C53" s="73" t="s">
        <v>271</v>
      </c>
      <c r="D53" s="74">
        <v>1595</v>
      </c>
      <c r="E53" s="75">
        <v>2</v>
      </c>
      <c r="F53" s="74">
        <f t="shared" si="3"/>
        <v>3190</v>
      </c>
      <c r="G53" s="58"/>
    </row>
    <row r="54" spans="2:7" ht="15.6" x14ac:dyDescent="0.3">
      <c r="B54" s="61">
        <v>18</v>
      </c>
      <c r="C54" s="76" t="s">
        <v>259</v>
      </c>
      <c r="D54" s="77">
        <v>1358</v>
      </c>
      <c r="E54" s="75">
        <v>6</v>
      </c>
      <c r="F54" s="74">
        <f t="shared" si="3"/>
        <v>8148</v>
      </c>
      <c r="G54" s="58"/>
    </row>
    <row r="55" spans="2:7" ht="15.6" x14ac:dyDescent="0.3">
      <c r="B55" s="61">
        <v>19</v>
      </c>
      <c r="C55" s="73" t="s">
        <v>254</v>
      </c>
      <c r="D55" s="74">
        <v>1427</v>
      </c>
      <c r="E55" s="75">
        <v>4</v>
      </c>
      <c r="F55" s="74">
        <f t="shared" si="3"/>
        <v>5708</v>
      </c>
      <c r="G55" s="58"/>
    </row>
    <row r="56" spans="2:7" ht="15.6" x14ac:dyDescent="0.3">
      <c r="B56" s="61">
        <v>20</v>
      </c>
      <c r="C56" s="73" t="s">
        <v>235</v>
      </c>
      <c r="D56" s="74">
        <v>1806</v>
      </c>
      <c r="E56" s="75">
        <v>2</v>
      </c>
      <c r="F56" s="74">
        <f t="shared" si="3"/>
        <v>3612</v>
      </c>
      <c r="G56" s="58"/>
    </row>
    <row r="57" spans="2:7" ht="15.6" x14ac:dyDescent="0.3">
      <c r="B57" s="61">
        <v>21</v>
      </c>
      <c r="C57" s="73" t="s">
        <v>256</v>
      </c>
      <c r="D57" s="74">
        <v>1883</v>
      </c>
      <c r="E57" s="75">
        <v>3</v>
      </c>
      <c r="F57" s="74">
        <f t="shared" si="3"/>
        <v>5649</v>
      </c>
      <c r="G57" s="58"/>
    </row>
    <row r="58" spans="2:7" ht="15.6" x14ac:dyDescent="0.3">
      <c r="B58" s="61">
        <v>22</v>
      </c>
      <c r="C58" s="78" t="s">
        <v>272</v>
      </c>
      <c r="D58" s="79">
        <v>1470</v>
      </c>
      <c r="E58" s="80">
        <v>2</v>
      </c>
      <c r="F58" s="79">
        <f t="shared" si="3"/>
        <v>2940</v>
      </c>
      <c r="G58" s="58"/>
    </row>
    <row r="59" spans="2:7" ht="15.6" x14ac:dyDescent="0.3">
      <c r="B59" s="58"/>
      <c r="C59" s="81" t="s">
        <v>205</v>
      </c>
      <c r="D59" s="82"/>
      <c r="E59" s="83">
        <f t="shared" ref="E59:F59" si="4">SUM(E37:E58)</f>
        <v>61</v>
      </c>
      <c r="F59" s="84">
        <f t="shared" si="4"/>
        <v>74036</v>
      </c>
      <c r="G59" s="60">
        <v>81200</v>
      </c>
    </row>
    <row r="60" spans="2:7" ht="15.6" x14ac:dyDescent="0.3">
      <c r="B60" s="58"/>
      <c r="C60" s="58"/>
      <c r="D60" s="58"/>
      <c r="E60" s="58"/>
      <c r="F60" s="58"/>
      <c r="G60" s="58"/>
    </row>
    <row r="61" spans="2:7" ht="15.6" x14ac:dyDescent="0.3">
      <c r="B61" s="58"/>
      <c r="C61" s="58"/>
      <c r="D61" s="58"/>
      <c r="E61" s="58"/>
      <c r="F61" s="58"/>
      <c r="G61" s="58"/>
    </row>
    <row r="62" spans="2:7" ht="23.4" x14ac:dyDescent="0.55000000000000004">
      <c r="B62" s="121" t="s">
        <v>211</v>
      </c>
      <c r="C62" s="122"/>
      <c r="D62" s="122"/>
      <c r="E62" s="122"/>
      <c r="F62" s="123"/>
      <c r="G62" s="58"/>
    </row>
    <row r="63" spans="2:7" ht="15.6" x14ac:dyDescent="0.3">
      <c r="B63" s="59" t="s">
        <v>223</v>
      </c>
      <c r="C63" s="72" t="s">
        <v>224</v>
      </c>
      <c r="D63" s="72" t="s">
        <v>225</v>
      </c>
      <c r="E63" s="72" t="s">
        <v>226</v>
      </c>
      <c r="F63" s="72" t="s">
        <v>273</v>
      </c>
      <c r="G63" s="58"/>
    </row>
    <row r="64" spans="2:7" ht="15.6" x14ac:dyDescent="0.3">
      <c r="B64" s="61">
        <v>1</v>
      </c>
      <c r="C64" s="43" t="s">
        <v>274</v>
      </c>
      <c r="D64" s="74">
        <v>1595</v>
      </c>
      <c r="E64" s="85">
        <v>2</v>
      </c>
      <c r="F64" s="74">
        <f t="shared" ref="F64:F72" si="5">D64*E64</f>
        <v>3190</v>
      </c>
      <c r="G64" s="58"/>
    </row>
    <row r="65" spans="2:7" ht="15.6" x14ac:dyDescent="0.3">
      <c r="B65" s="61">
        <v>2</v>
      </c>
      <c r="C65" s="43" t="s">
        <v>275</v>
      </c>
      <c r="D65" s="74">
        <v>916</v>
      </c>
      <c r="E65" s="85">
        <v>1</v>
      </c>
      <c r="F65" s="74">
        <f t="shared" si="5"/>
        <v>916</v>
      </c>
      <c r="G65" s="58"/>
    </row>
    <row r="66" spans="2:7" ht="15.6" x14ac:dyDescent="0.3">
      <c r="B66" s="61">
        <v>3</v>
      </c>
      <c r="C66" s="43" t="s">
        <v>276</v>
      </c>
      <c r="D66" s="74">
        <v>1925</v>
      </c>
      <c r="E66" s="85">
        <v>1</v>
      </c>
      <c r="F66" s="74">
        <f t="shared" si="5"/>
        <v>1925</v>
      </c>
      <c r="G66" s="58"/>
    </row>
    <row r="67" spans="2:7" ht="15.6" x14ac:dyDescent="0.3">
      <c r="B67" s="61">
        <v>4</v>
      </c>
      <c r="C67" s="43" t="s">
        <v>277</v>
      </c>
      <c r="D67" s="74">
        <v>2135</v>
      </c>
      <c r="E67" s="85">
        <v>2</v>
      </c>
      <c r="F67" s="74">
        <f t="shared" si="5"/>
        <v>4270</v>
      </c>
      <c r="G67" s="58"/>
    </row>
    <row r="68" spans="2:7" ht="15.6" x14ac:dyDescent="0.3">
      <c r="B68" s="61">
        <v>5</v>
      </c>
      <c r="C68" s="43" t="s">
        <v>278</v>
      </c>
      <c r="D68" s="74">
        <v>760</v>
      </c>
      <c r="E68" s="85">
        <v>1</v>
      </c>
      <c r="F68" s="74">
        <f t="shared" si="5"/>
        <v>760</v>
      </c>
      <c r="G68" s="58"/>
    </row>
    <row r="69" spans="2:7" ht="15.6" x14ac:dyDescent="0.3">
      <c r="B69" s="61">
        <v>6</v>
      </c>
      <c r="C69" s="44" t="s">
        <v>279</v>
      </c>
      <c r="D69" s="79">
        <v>760</v>
      </c>
      <c r="E69" s="86">
        <v>1</v>
      </c>
      <c r="F69" s="74">
        <f t="shared" si="5"/>
        <v>760</v>
      </c>
      <c r="G69" s="58"/>
    </row>
    <row r="70" spans="2:7" ht="15.6" x14ac:dyDescent="0.3">
      <c r="B70" s="61">
        <v>7</v>
      </c>
      <c r="C70" s="87" t="s">
        <v>280</v>
      </c>
      <c r="D70" s="88">
        <v>1693</v>
      </c>
      <c r="E70" s="89">
        <v>1</v>
      </c>
      <c r="F70" s="74">
        <f t="shared" si="5"/>
        <v>1693</v>
      </c>
      <c r="G70" s="58"/>
    </row>
    <row r="71" spans="2:7" ht="15.6" x14ac:dyDescent="0.3">
      <c r="B71" s="61">
        <v>8</v>
      </c>
      <c r="C71" s="87" t="s">
        <v>258</v>
      </c>
      <c r="D71" s="88">
        <v>2207</v>
      </c>
      <c r="E71" s="89">
        <v>1</v>
      </c>
      <c r="F71" s="74">
        <f t="shared" si="5"/>
        <v>2207</v>
      </c>
      <c r="G71" s="58"/>
    </row>
    <row r="72" spans="2:7" ht="15.6" x14ac:dyDescent="0.3">
      <c r="B72" s="61">
        <v>9</v>
      </c>
      <c r="C72" s="90" t="s">
        <v>281</v>
      </c>
      <c r="D72" s="77">
        <v>4598</v>
      </c>
      <c r="E72" s="91">
        <v>1</v>
      </c>
      <c r="F72" s="79">
        <f t="shared" si="5"/>
        <v>4598</v>
      </c>
      <c r="G72" s="58"/>
    </row>
    <row r="73" spans="2:7" ht="15.6" x14ac:dyDescent="0.3">
      <c r="B73" s="63"/>
      <c r="C73" s="66" t="s">
        <v>205</v>
      </c>
      <c r="D73" s="69">
        <f t="shared" ref="D73:F73" si="6">SUM(D64:D72)</f>
        <v>16589</v>
      </c>
      <c r="E73" s="68">
        <f t="shared" si="6"/>
        <v>11</v>
      </c>
      <c r="F73" s="69">
        <f t="shared" si="6"/>
        <v>20319</v>
      </c>
      <c r="G73" s="60">
        <v>21600</v>
      </c>
    </row>
    <row r="74" spans="2:7" ht="15.6" x14ac:dyDescent="0.3">
      <c r="B74" s="58"/>
      <c r="C74" s="58"/>
      <c r="D74" s="58"/>
      <c r="E74" s="58"/>
      <c r="F74" s="58"/>
      <c r="G74" s="58"/>
    </row>
    <row r="75" spans="2:7" ht="15.6" x14ac:dyDescent="0.3">
      <c r="B75" s="58"/>
      <c r="C75" s="58"/>
      <c r="D75" s="58"/>
      <c r="E75" s="58"/>
      <c r="F75" s="58"/>
      <c r="G75" s="58"/>
    </row>
    <row r="76" spans="2:7" ht="23.4" x14ac:dyDescent="0.55000000000000004">
      <c r="B76" s="121" t="s">
        <v>282</v>
      </c>
      <c r="C76" s="122"/>
      <c r="D76" s="122"/>
      <c r="E76" s="122"/>
      <c r="F76" s="123"/>
      <c r="G76" s="58"/>
    </row>
    <row r="77" spans="2:7" ht="15.6" x14ac:dyDescent="0.3">
      <c r="B77" s="92" t="s">
        <v>223</v>
      </c>
      <c r="C77" s="72" t="s">
        <v>224</v>
      </c>
      <c r="D77" s="72" t="s">
        <v>225</v>
      </c>
      <c r="E77" s="72" t="s">
        <v>226</v>
      </c>
      <c r="F77" s="72" t="s">
        <v>273</v>
      </c>
      <c r="G77" s="58"/>
    </row>
    <row r="78" spans="2:7" ht="15.6" x14ac:dyDescent="0.3">
      <c r="B78" s="61">
        <v>1</v>
      </c>
      <c r="C78" s="43" t="s">
        <v>283</v>
      </c>
      <c r="D78" s="74">
        <v>2792</v>
      </c>
      <c r="E78" s="85">
        <v>2</v>
      </c>
      <c r="F78" s="74">
        <f t="shared" ref="F78:F85" si="7">D78*E78</f>
        <v>5584</v>
      </c>
      <c r="G78" s="58"/>
    </row>
    <row r="79" spans="2:7" ht="15.6" x14ac:dyDescent="0.3">
      <c r="B79" s="61">
        <v>2</v>
      </c>
      <c r="C79" s="43" t="s">
        <v>231</v>
      </c>
      <c r="D79" s="74">
        <v>609</v>
      </c>
      <c r="E79" s="85">
        <v>12</v>
      </c>
      <c r="F79" s="74">
        <f t="shared" si="7"/>
        <v>7308</v>
      </c>
      <c r="G79" s="58"/>
    </row>
    <row r="80" spans="2:7" ht="15.6" x14ac:dyDescent="0.3">
      <c r="B80" s="61">
        <v>3</v>
      </c>
      <c r="C80" s="43" t="s">
        <v>284</v>
      </c>
      <c r="D80" s="74">
        <v>427</v>
      </c>
      <c r="E80" s="85">
        <v>6</v>
      </c>
      <c r="F80" s="74">
        <f t="shared" si="7"/>
        <v>2562</v>
      </c>
      <c r="G80" s="58"/>
    </row>
    <row r="81" spans="2:15" ht="15.6" x14ac:dyDescent="0.3">
      <c r="B81" s="61">
        <v>4</v>
      </c>
      <c r="C81" s="43" t="s">
        <v>229</v>
      </c>
      <c r="D81" s="74">
        <v>631</v>
      </c>
      <c r="E81" s="85">
        <v>2</v>
      </c>
      <c r="F81" s="74">
        <f t="shared" si="7"/>
        <v>1262</v>
      </c>
      <c r="G81" s="58"/>
    </row>
    <row r="82" spans="2:15" ht="15.6" x14ac:dyDescent="0.3">
      <c r="B82" s="61">
        <v>5</v>
      </c>
      <c r="C82" s="43" t="s">
        <v>230</v>
      </c>
      <c r="D82" s="74">
        <v>631</v>
      </c>
      <c r="E82" s="85">
        <v>2</v>
      </c>
      <c r="F82" s="74">
        <f t="shared" si="7"/>
        <v>1262</v>
      </c>
      <c r="G82" s="58"/>
    </row>
    <row r="83" spans="2:15" ht="15.6" x14ac:dyDescent="0.3">
      <c r="B83" s="61">
        <v>6</v>
      </c>
      <c r="C83" s="43" t="s">
        <v>285</v>
      </c>
      <c r="D83" s="74">
        <v>283</v>
      </c>
      <c r="E83" s="85">
        <v>9</v>
      </c>
      <c r="F83" s="74">
        <f t="shared" si="7"/>
        <v>2547</v>
      </c>
      <c r="G83" s="58"/>
    </row>
    <row r="84" spans="2:15" ht="15.6" x14ac:dyDescent="0.3">
      <c r="B84" s="61">
        <v>7</v>
      </c>
      <c r="C84" s="43" t="s">
        <v>286</v>
      </c>
      <c r="D84" s="74">
        <v>1823</v>
      </c>
      <c r="E84" s="85">
        <v>3</v>
      </c>
      <c r="F84" s="74">
        <f t="shared" si="7"/>
        <v>5469</v>
      </c>
      <c r="G84" s="58"/>
    </row>
    <row r="85" spans="2:15" ht="15.6" x14ac:dyDescent="0.3">
      <c r="B85" s="61">
        <v>8</v>
      </c>
      <c r="C85" s="44" t="s">
        <v>287</v>
      </c>
      <c r="D85" s="79">
        <v>1305</v>
      </c>
      <c r="E85" s="85">
        <v>4</v>
      </c>
      <c r="F85" s="74">
        <f t="shared" si="7"/>
        <v>5220</v>
      </c>
      <c r="G85" s="58"/>
    </row>
    <row r="86" spans="2:15" ht="15.6" x14ac:dyDescent="0.3">
      <c r="B86" s="58"/>
      <c r="C86" s="81" t="s">
        <v>205</v>
      </c>
      <c r="D86" s="93"/>
      <c r="E86" s="94">
        <f t="shared" ref="E86:F86" si="8">SUM(E78:E85)</f>
        <v>40</v>
      </c>
      <c r="F86" s="95">
        <f t="shared" si="8"/>
        <v>31214</v>
      </c>
      <c r="G86" s="60">
        <v>33900</v>
      </c>
    </row>
    <row r="87" spans="2:15" ht="15.6" x14ac:dyDescent="0.3">
      <c r="B87" s="58"/>
      <c r="C87" s="58"/>
      <c r="D87" s="58"/>
      <c r="E87" s="58"/>
      <c r="F87" s="58"/>
      <c r="G87" s="58"/>
      <c r="O87" s="96"/>
    </row>
    <row r="88" spans="2:15" ht="15.6" x14ac:dyDescent="0.3">
      <c r="B88" s="58"/>
      <c r="C88" s="58"/>
      <c r="D88" s="58"/>
      <c r="E88" s="58"/>
      <c r="F88" s="58"/>
      <c r="G88" s="58"/>
    </row>
    <row r="89" spans="2:15" ht="23.4" x14ac:dyDescent="0.55000000000000004">
      <c r="B89" s="121" t="s">
        <v>288</v>
      </c>
      <c r="C89" s="122"/>
      <c r="D89" s="122"/>
      <c r="E89" s="122"/>
      <c r="F89" s="123"/>
      <c r="G89" s="58"/>
    </row>
    <row r="90" spans="2:15" ht="15.6" x14ac:dyDescent="0.3">
      <c r="B90" s="92" t="s">
        <v>223</v>
      </c>
      <c r="C90" s="72" t="s">
        <v>224</v>
      </c>
      <c r="D90" s="72" t="s">
        <v>225</v>
      </c>
      <c r="E90" s="72" t="s">
        <v>226</v>
      </c>
      <c r="F90" s="72" t="s">
        <v>273</v>
      </c>
      <c r="G90" s="58"/>
    </row>
    <row r="91" spans="2:15" ht="15.6" x14ac:dyDescent="0.3">
      <c r="B91" s="61">
        <v>1</v>
      </c>
      <c r="C91" s="43" t="s">
        <v>289</v>
      </c>
      <c r="D91" s="74">
        <v>1333</v>
      </c>
      <c r="E91" s="85">
        <v>1</v>
      </c>
      <c r="F91" s="74">
        <f t="shared" ref="F91:F99" si="9">D91*E91</f>
        <v>1333</v>
      </c>
      <c r="G91" s="58"/>
    </row>
    <row r="92" spans="2:15" ht="15.6" x14ac:dyDescent="0.3">
      <c r="B92" s="61">
        <v>2</v>
      </c>
      <c r="C92" s="43" t="s">
        <v>229</v>
      </c>
      <c r="D92" s="74">
        <v>631</v>
      </c>
      <c r="E92" s="85">
        <v>1</v>
      </c>
      <c r="F92" s="74">
        <f t="shared" si="9"/>
        <v>631</v>
      </c>
      <c r="G92" s="58"/>
    </row>
    <row r="93" spans="2:15" ht="15.6" x14ac:dyDescent="0.3">
      <c r="B93" s="61">
        <v>3</v>
      </c>
      <c r="C93" s="43" t="s">
        <v>230</v>
      </c>
      <c r="D93" s="74">
        <v>631</v>
      </c>
      <c r="E93" s="85">
        <v>1</v>
      </c>
      <c r="F93" s="74">
        <f t="shared" si="9"/>
        <v>631</v>
      </c>
      <c r="G93" s="58"/>
    </row>
    <row r="94" spans="2:15" ht="15.6" x14ac:dyDescent="0.3">
      <c r="B94" s="61">
        <v>4</v>
      </c>
      <c r="C94" s="43" t="s">
        <v>290</v>
      </c>
      <c r="D94" s="74">
        <v>2672</v>
      </c>
      <c r="E94" s="85">
        <v>1</v>
      </c>
      <c r="F94" s="74">
        <f t="shared" si="9"/>
        <v>2672</v>
      </c>
      <c r="G94" s="58"/>
    </row>
    <row r="95" spans="2:15" ht="15.6" x14ac:dyDescent="0.3">
      <c r="B95" s="61">
        <v>5</v>
      </c>
      <c r="C95" s="43" t="s">
        <v>291</v>
      </c>
      <c r="D95" s="74">
        <v>3568</v>
      </c>
      <c r="E95" s="85">
        <v>1</v>
      </c>
      <c r="F95" s="74">
        <f t="shared" si="9"/>
        <v>3568</v>
      </c>
      <c r="G95" s="58"/>
    </row>
    <row r="96" spans="2:15" ht="15.6" x14ac:dyDescent="0.3">
      <c r="B96" s="61">
        <v>6</v>
      </c>
      <c r="C96" s="43" t="s">
        <v>292</v>
      </c>
      <c r="D96" s="74">
        <v>342</v>
      </c>
      <c r="E96" s="85">
        <v>1</v>
      </c>
      <c r="F96" s="74">
        <f t="shared" si="9"/>
        <v>342</v>
      </c>
      <c r="G96" s="58"/>
    </row>
    <row r="97" spans="1:22" ht="15.6" x14ac:dyDescent="0.3">
      <c r="B97" s="61">
        <v>7</v>
      </c>
      <c r="C97" s="87" t="s">
        <v>237</v>
      </c>
      <c r="D97" s="88">
        <v>1305</v>
      </c>
      <c r="E97" s="85">
        <v>2</v>
      </c>
      <c r="F97" s="74">
        <f t="shared" si="9"/>
        <v>2610</v>
      </c>
      <c r="G97" s="58"/>
    </row>
    <row r="98" spans="1:22" ht="15.6" x14ac:dyDescent="0.3">
      <c r="B98" s="61">
        <v>8</v>
      </c>
      <c r="C98" s="43" t="s">
        <v>254</v>
      </c>
      <c r="D98" s="74">
        <v>1427</v>
      </c>
      <c r="E98" s="85">
        <v>2</v>
      </c>
      <c r="F98" s="74">
        <f t="shared" si="9"/>
        <v>2854</v>
      </c>
      <c r="G98" s="58"/>
    </row>
    <row r="99" spans="1:22" ht="15.6" x14ac:dyDescent="0.3">
      <c r="B99" s="61">
        <v>9</v>
      </c>
      <c r="C99" s="43" t="s">
        <v>231</v>
      </c>
      <c r="D99" s="74">
        <v>609</v>
      </c>
      <c r="E99" s="85">
        <v>2</v>
      </c>
      <c r="F99" s="74">
        <f t="shared" si="9"/>
        <v>1218</v>
      </c>
      <c r="G99" s="58"/>
    </row>
    <row r="100" spans="1:22" ht="15.6" x14ac:dyDescent="0.3">
      <c r="B100" s="58"/>
      <c r="C100" s="81" t="s">
        <v>205</v>
      </c>
      <c r="D100" s="93"/>
      <c r="E100" s="94">
        <f t="shared" ref="E100:F100" si="10">SUM(E91:E99)</f>
        <v>12</v>
      </c>
      <c r="F100" s="95">
        <f t="shared" si="10"/>
        <v>15859</v>
      </c>
      <c r="G100" s="60">
        <v>15400</v>
      </c>
    </row>
    <row r="103" spans="1:22" ht="15" customHeight="1" x14ac:dyDescent="0.3">
      <c r="N103" s="4"/>
    </row>
    <row r="104" spans="1:22" ht="23.4" x14ac:dyDescent="0.55000000000000004">
      <c r="B104" s="124" t="s">
        <v>293</v>
      </c>
      <c r="C104" s="122"/>
      <c r="D104" s="122"/>
      <c r="E104" s="123"/>
      <c r="G104" s="97"/>
      <c r="H104" s="97"/>
      <c r="L104" s="4"/>
      <c r="M104" s="4"/>
      <c r="N104" s="97"/>
      <c r="O104" s="97"/>
      <c r="P104" s="97"/>
      <c r="S104" s="4"/>
      <c r="T104" s="97"/>
      <c r="U104" s="97"/>
      <c r="V104" s="97"/>
    </row>
    <row r="105" spans="1:22" ht="15.6" x14ac:dyDescent="0.3">
      <c r="B105" s="92" t="s">
        <v>223</v>
      </c>
      <c r="C105" s="72" t="s">
        <v>294</v>
      </c>
      <c r="D105" s="72" t="s">
        <v>226</v>
      </c>
      <c r="E105" s="72" t="s">
        <v>225</v>
      </c>
      <c r="F105" s="98" t="s">
        <v>295</v>
      </c>
      <c r="G105" s="98" t="s">
        <v>296</v>
      </c>
      <c r="H105" s="98" t="s">
        <v>297</v>
      </c>
      <c r="L105" s="4"/>
      <c r="R105" s="4"/>
    </row>
    <row r="106" spans="1:22" ht="15.6" x14ac:dyDescent="0.3">
      <c r="A106" s="4" t="s">
        <v>17</v>
      </c>
      <c r="B106" s="61">
        <v>1</v>
      </c>
      <c r="C106" s="43" t="s">
        <v>134</v>
      </c>
      <c r="D106" s="85">
        <v>10</v>
      </c>
      <c r="E106" s="74">
        <v>10000</v>
      </c>
      <c r="F106" s="96">
        <f t="shared" ref="F106:F108" si="11">E106/D106</f>
        <v>1000</v>
      </c>
      <c r="G106" s="96">
        <f t="shared" ref="G106:G120" si="12">F106*1.15</f>
        <v>1150</v>
      </c>
      <c r="H106" s="96">
        <f t="shared" ref="H106:H120" si="13">F106*1.2</f>
        <v>1200</v>
      </c>
      <c r="L106" s="4"/>
      <c r="M106" s="4"/>
      <c r="N106" s="96"/>
      <c r="O106" s="96"/>
      <c r="P106" s="96"/>
      <c r="R106" s="4"/>
      <c r="S106" s="4"/>
      <c r="T106" s="96"/>
      <c r="U106" s="96"/>
      <c r="V106" s="96"/>
    </row>
    <row r="107" spans="1:22" ht="15.6" x14ac:dyDescent="0.3">
      <c r="B107" s="61">
        <v>2</v>
      </c>
      <c r="C107" s="43" t="s">
        <v>135</v>
      </c>
      <c r="D107" s="85">
        <v>10</v>
      </c>
      <c r="E107" s="74">
        <v>15000</v>
      </c>
      <c r="F107" s="96">
        <f t="shared" si="11"/>
        <v>1500</v>
      </c>
      <c r="G107" s="96">
        <f t="shared" si="12"/>
        <v>1724.9999999999998</v>
      </c>
      <c r="H107" s="96">
        <f t="shared" si="13"/>
        <v>1800</v>
      </c>
      <c r="L107" s="4"/>
      <c r="M107" s="4"/>
      <c r="N107" s="96"/>
      <c r="O107" s="96"/>
      <c r="P107" s="96"/>
      <c r="R107" s="4"/>
      <c r="S107" s="4"/>
      <c r="T107" s="96"/>
      <c r="U107" s="96"/>
      <c r="V107" s="96"/>
    </row>
    <row r="108" spans="1:22" ht="15.6" x14ac:dyDescent="0.3">
      <c r="B108" s="61">
        <v>3</v>
      </c>
      <c r="C108" s="43" t="s">
        <v>136</v>
      </c>
      <c r="D108" s="85">
        <v>10</v>
      </c>
      <c r="E108" s="74">
        <v>15000</v>
      </c>
      <c r="F108" s="96">
        <f t="shared" si="11"/>
        <v>1500</v>
      </c>
      <c r="G108" s="96">
        <f t="shared" si="12"/>
        <v>1724.9999999999998</v>
      </c>
      <c r="H108" s="96">
        <f t="shared" si="13"/>
        <v>1800</v>
      </c>
      <c r="L108" s="4"/>
      <c r="M108" s="4"/>
      <c r="N108" s="96"/>
      <c r="O108" s="96"/>
      <c r="P108" s="96"/>
      <c r="R108" s="4"/>
      <c r="S108" s="4"/>
      <c r="T108" s="96"/>
      <c r="U108" s="96"/>
      <c r="V108" s="96"/>
    </row>
    <row r="109" spans="1:22" ht="15.6" x14ac:dyDescent="0.3">
      <c r="B109" s="61">
        <v>4</v>
      </c>
      <c r="C109" s="43" t="s">
        <v>137</v>
      </c>
      <c r="D109" s="85">
        <v>20</v>
      </c>
      <c r="E109" s="74">
        <v>10000</v>
      </c>
      <c r="F109" s="96">
        <v>595</v>
      </c>
      <c r="G109" s="96">
        <f t="shared" si="12"/>
        <v>684.25</v>
      </c>
      <c r="H109" s="96">
        <f t="shared" si="13"/>
        <v>714</v>
      </c>
      <c r="I109" s="4" t="s">
        <v>298</v>
      </c>
      <c r="L109" s="4"/>
      <c r="M109" s="4"/>
      <c r="N109" s="96"/>
      <c r="O109" s="96"/>
      <c r="P109" s="96"/>
      <c r="R109" s="4"/>
      <c r="S109" s="4"/>
      <c r="T109" s="96"/>
      <c r="U109" s="96"/>
      <c r="V109" s="96"/>
    </row>
    <row r="110" spans="1:22" ht="15.6" x14ac:dyDescent="0.3">
      <c r="B110" s="65">
        <v>5</v>
      </c>
      <c r="C110" s="44" t="s">
        <v>138</v>
      </c>
      <c r="D110" s="86">
        <v>1</v>
      </c>
      <c r="E110" s="79">
        <v>19900</v>
      </c>
      <c r="F110" s="96">
        <f t="shared" ref="F110:F120" si="14">E110/D110</f>
        <v>19900</v>
      </c>
      <c r="G110" s="96">
        <f t="shared" si="12"/>
        <v>22885</v>
      </c>
      <c r="H110" s="96">
        <f t="shared" si="13"/>
        <v>23880</v>
      </c>
      <c r="L110" s="4"/>
      <c r="M110" s="4"/>
      <c r="N110" s="96"/>
      <c r="O110" s="96"/>
      <c r="P110" s="96"/>
      <c r="R110" s="4"/>
      <c r="S110" s="4"/>
      <c r="T110" s="96"/>
      <c r="U110" s="96"/>
      <c r="V110" s="96"/>
    </row>
    <row r="111" spans="1:22" ht="15" customHeight="1" x14ac:dyDescent="0.3">
      <c r="B111" s="61">
        <v>6</v>
      </c>
      <c r="C111" s="38" t="s">
        <v>139</v>
      </c>
      <c r="D111" s="99">
        <v>15</v>
      </c>
      <c r="E111" s="100">
        <v>7500</v>
      </c>
      <c r="F111" s="96">
        <f t="shared" si="14"/>
        <v>500</v>
      </c>
      <c r="G111" s="96">
        <f t="shared" si="12"/>
        <v>575</v>
      </c>
      <c r="H111" s="96">
        <f t="shared" si="13"/>
        <v>600</v>
      </c>
    </row>
    <row r="112" spans="1:22" ht="15" customHeight="1" x14ac:dyDescent="0.3">
      <c r="B112" s="61">
        <v>7</v>
      </c>
      <c r="C112" s="38" t="s">
        <v>140</v>
      </c>
      <c r="D112" s="99">
        <v>20</v>
      </c>
      <c r="E112" s="100">
        <v>24000</v>
      </c>
      <c r="F112" s="96">
        <f t="shared" si="14"/>
        <v>1200</v>
      </c>
      <c r="G112" s="96">
        <f t="shared" si="12"/>
        <v>1380</v>
      </c>
      <c r="H112" s="96">
        <f t="shared" si="13"/>
        <v>1440</v>
      </c>
      <c r="N112" s="96"/>
      <c r="O112" s="96"/>
      <c r="P112" s="96"/>
      <c r="T112" s="96"/>
      <c r="U112" s="96"/>
      <c r="V112" s="96"/>
    </row>
    <row r="113" spans="1:22" ht="15" customHeight="1" x14ac:dyDescent="0.3">
      <c r="B113" s="61">
        <v>8</v>
      </c>
      <c r="C113" s="38" t="s">
        <v>141</v>
      </c>
      <c r="D113" s="99">
        <v>20</v>
      </c>
      <c r="E113" s="100">
        <v>16000</v>
      </c>
      <c r="F113" s="96">
        <f t="shared" si="14"/>
        <v>800</v>
      </c>
      <c r="G113" s="96">
        <f t="shared" si="12"/>
        <v>919.99999999999989</v>
      </c>
      <c r="H113" s="96">
        <f t="shared" si="13"/>
        <v>960</v>
      </c>
    </row>
    <row r="114" spans="1:22" ht="15" customHeight="1" x14ac:dyDescent="0.3">
      <c r="B114" s="61">
        <v>9</v>
      </c>
      <c r="C114" s="38" t="s">
        <v>142</v>
      </c>
      <c r="D114" s="99">
        <v>10</v>
      </c>
      <c r="E114" s="100">
        <v>25000</v>
      </c>
      <c r="F114" s="96">
        <f t="shared" si="14"/>
        <v>2500</v>
      </c>
      <c r="G114" s="96">
        <f t="shared" si="12"/>
        <v>2875</v>
      </c>
      <c r="H114" s="96">
        <f t="shared" si="13"/>
        <v>3000</v>
      </c>
      <c r="L114" s="101" t="s">
        <v>299</v>
      </c>
      <c r="N114" s="97"/>
      <c r="R114" s="4"/>
    </row>
    <row r="115" spans="1:22" ht="15" customHeight="1" x14ac:dyDescent="0.3">
      <c r="B115" s="61">
        <v>10</v>
      </c>
      <c r="C115" s="38" t="s">
        <v>143</v>
      </c>
      <c r="D115" s="99">
        <v>20</v>
      </c>
      <c r="E115" s="100">
        <v>16000</v>
      </c>
      <c r="F115" s="96">
        <f t="shared" si="14"/>
        <v>800</v>
      </c>
      <c r="G115" s="96">
        <f t="shared" si="12"/>
        <v>919.99999999999989</v>
      </c>
      <c r="H115" s="96">
        <f t="shared" si="13"/>
        <v>960</v>
      </c>
      <c r="L115" s="4" t="s">
        <v>300</v>
      </c>
      <c r="M115" s="4">
        <v>2</v>
      </c>
      <c r="N115" s="96" t="e">
        <f t="shared" ref="N115:N118" ca="1" si="15">_xludf.XLOOKUP("*"&amp;L115&amp;"*",$C$106:$C$120,$F$106:$F$120,"nono",2,1)*M115</f>
        <v>#NAME?</v>
      </c>
      <c r="O115" s="96" t="e">
        <f t="shared" ref="O115:O118" ca="1" si="16">_xludf.XLOOKUP("*"&amp;L115&amp;"*",$C$106:$C$120,$G$106:$G$120,"nono",2,1)*M115</f>
        <v>#NAME?</v>
      </c>
      <c r="P115" s="96" t="e">
        <f t="shared" ref="P115:P118" ca="1" si="17">_xludf.XLOOKUP("*"&amp;L115&amp;"*",$C$106:$C$120,$H$106:$H$120,"nono",2,1)*M115</f>
        <v>#NAME?</v>
      </c>
      <c r="R115" s="4"/>
      <c r="S115" s="4"/>
      <c r="T115" s="96"/>
      <c r="U115" s="96"/>
      <c r="V115" s="96"/>
    </row>
    <row r="116" spans="1:22" ht="15" customHeight="1" x14ac:dyDescent="0.3">
      <c r="B116" s="61">
        <v>11</v>
      </c>
      <c r="C116" s="38" t="s">
        <v>144</v>
      </c>
      <c r="D116" s="99">
        <v>10</v>
      </c>
      <c r="E116" s="100">
        <v>10000</v>
      </c>
      <c r="F116" s="96">
        <f t="shared" si="14"/>
        <v>1000</v>
      </c>
      <c r="G116" s="96">
        <f t="shared" si="12"/>
        <v>1150</v>
      </c>
      <c r="H116" s="96">
        <f t="shared" si="13"/>
        <v>1200</v>
      </c>
      <c r="L116" s="4" t="s">
        <v>301</v>
      </c>
      <c r="M116" s="4">
        <v>5</v>
      </c>
      <c r="N116" s="96" t="e">
        <f t="shared" ca="1" si="15"/>
        <v>#NAME?</v>
      </c>
      <c r="O116" s="96" t="e">
        <f t="shared" ca="1" si="16"/>
        <v>#NAME?</v>
      </c>
      <c r="P116" s="96" t="e">
        <f t="shared" ca="1" si="17"/>
        <v>#NAME?</v>
      </c>
      <c r="R116" s="4"/>
      <c r="S116" s="4"/>
      <c r="T116" s="96"/>
      <c r="U116" s="96"/>
      <c r="V116" s="96"/>
    </row>
    <row r="117" spans="1:22" ht="15" customHeight="1" x14ac:dyDescent="0.3">
      <c r="B117" s="102">
        <v>12</v>
      </c>
      <c r="C117" s="34" t="s">
        <v>302</v>
      </c>
      <c r="D117" s="103">
        <v>20</v>
      </c>
      <c r="E117" s="104">
        <v>14000</v>
      </c>
      <c r="F117" s="96">
        <f t="shared" si="14"/>
        <v>700</v>
      </c>
      <c r="G117" s="96">
        <f t="shared" si="12"/>
        <v>804.99999999999989</v>
      </c>
      <c r="H117" s="96">
        <f t="shared" si="13"/>
        <v>840</v>
      </c>
      <c r="L117" s="4" t="s">
        <v>303</v>
      </c>
      <c r="M117" s="4">
        <v>2</v>
      </c>
      <c r="N117" s="96" t="e">
        <f t="shared" ca="1" si="15"/>
        <v>#NAME?</v>
      </c>
      <c r="O117" s="96" t="e">
        <f t="shared" ca="1" si="16"/>
        <v>#NAME?</v>
      </c>
      <c r="P117" s="96" t="e">
        <f t="shared" ca="1" si="17"/>
        <v>#NAME?</v>
      </c>
      <c r="R117" s="4"/>
      <c r="S117" s="4"/>
      <c r="T117" s="96"/>
      <c r="U117" s="96"/>
      <c r="V117" s="96"/>
    </row>
    <row r="118" spans="1:22" ht="15" customHeight="1" x14ac:dyDescent="0.3">
      <c r="A118" s="4" t="s">
        <v>304</v>
      </c>
      <c r="B118" s="4" t="s">
        <v>305</v>
      </c>
      <c r="C118" s="34" t="s">
        <v>306</v>
      </c>
      <c r="D118" s="103">
        <v>1</v>
      </c>
      <c r="E118" s="104">
        <v>1526</v>
      </c>
      <c r="F118" s="96">
        <f t="shared" si="14"/>
        <v>1526</v>
      </c>
      <c r="G118" s="96">
        <f t="shared" si="12"/>
        <v>1754.8999999999999</v>
      </c>
      <c r="H118" s="96">
        <f t="shared" si="13"/>
        <v>1831.2</v>
      </c>
      <c r="L118" s="4" t="s">
        <v>307</v>
      </c>
      <c r="M118" s="4">
        <v>2</v>
      </c>
      <c r="N118" s="96" t="e">
        <f t="shared" ca="1" si="15"/>
        <v>#NAME?</v>
      </c>
      <c r="O118" s="96" t="e">
        <f t="shared" ca="1" si="16"/>
        <v>#NAME?</v>
      </c>
      <c r="P118" s="96" t="e">
        <f t="shared" ca="1" si="17"/>
        <v>#NAME?</v>
      </c>
    </row>
    <row r="119" spans="1:22" ht="15" customHeight="1" x14ac:dyDescent="0.3">
      <c r="B119" s="4" t="s">
        <v>308</v>
      </c>
      <c r="C119" s="34" t="s">
        <v>309</v>
      </c>
      <c r="D119" s="103">
        <v>1</v>
      </c>
      <c r="E119" s="104">
        <v>430</v>
      </c>
      <c r="F119" s="96">
        <f t="shared" si="14"/>
        <v>430</v>
      </c>
      <c r="G119" s="96">
        <f t="shared" si="12"/>
        <v>494.49999999999994</v>
      </c>
      <c r="H119" s="96">
        <f t="shared" si="13"/>
        <v>516</v>
      </c>
      <c r="T119" s="96"/>
      <c r="U119" s="96"/>
      <c r="V119" s="96"/>
    </row>
    <row r="120" spans="1:22" ht="15" customHeight="1" x14ac:dyDescent="0.3">
      <c r="B120" s="4" t="s">
        <v>308</v>
      </c>
      <c r="C120" s="34" t="s">
        <v>310</v>
      </c>
      <c r="D120" s="103">
        <v>1</v>
      </c>
      <c r="E120" s="4">
        <v>1450</v>
      </c>
      <c r="F120" s="96">
        <f t="shared" si="14"/>
        <v>1450</v>
      </c>
      <c r="G120" s="96">
        <f t="shared" si="12"/>
        <v>1667.4999999999998</v>
      </c>
      <c r="H120" s="96">
        <f t="shared" si="13"/>
        <v>1740</v>
      </c>
      <c r="N120" s="96" t="e">
        <f t="shared" ref="N120:P120" ca="1" si="18">SUM(N115:N118)</f>
        <v>#NAME?</v>
      </c>
      <c r="O120" s="96" t="e">
        <f t="shared" ca="1" si="18"/>
        <v>#NAME?</v>
      </c>
      <c r="P120" s="96" t="e">
        <f t="shared" ca="1" si="18"/>
        <v>#NAME?</v>
      </c>
    </row>
    <row r="121" spans="1:22" ht="15" customHeight="1" x14ac:dyDescent="0.3">
      <c r="R121" s="4"/>
    </row>
    <row r="122" spans="1:22" ht="15" customHeight="1" x14ac:dyDescent="0.3">
      <c r="A122" s="4"/>
      <c r="C122" s="4"/>
      <c r="G122" s="4"/>
      <c r="L122" s="4"/>
      <c r="R122" s="4"/>
      <c r="S122" s="4"/>
      <c r="T122" s="96"/>
      <c r="U122" s="96"/>
      <c r="V122" s="96"/>
    </row>
    <row r="123" spans="1:22" ht="15" customHeight="1" x14ac:dyDescent="0.3">
      <c r="C123" s="4"/>
      <c r="D123" s="4"/>
      <c r="E123" s="4"/>
      <c r="G123" s="4"/>
      <c r="L123" s="4"/>
      <c r="M123" s="4"/>
      <c r="N123" s="96"/>
      <c r="O123" s="96"/>
      <c r="P123" s="96"/>
      <c r="R123" s="4"/>
      <c r="S123" s="4"/>
      <c r="T123" s="96"/>
      <c r="U123" s="96"/>
      <c r="V123" s="96"/>
    </row>
    <row r="124" spans="1:22" ht="15" customHeight="1" x14ac:dyDescent="0.3">
      <c r="C124" s="4"/>
      <c r="D124" s="4"/>
      <c r="E124" s="4"/>
      <c r="G124" s="4"/>
      <c r="L124" s="4"/>
      <c r="M124" s="4"/>
      <c r="N124" s="96"/>
      <c r="O124" s="96"/>
      <c r="P124" s="96"/>
      <c r="R124" s="4"/>
      <c r="S124" s="4"/>
      <c r="T124" s="96"/>
      <c r="U124" s="96"/>
      <c r="V124" s="96"/>
    </row>
    <row r="125" spans="1:22" ht="15" customHeight="1" x14ac:dyDescent="0.3">
      <c r="C125" s="4"/>
      <c r="D125" s="4"/>
      <c r="E125" s="4"/>
      <c r="G125" s="4"/>
      <c r="L125" s="4"/>
      <c r="M125" s="4"/>
      <c r="N125" s="96"/>
      <c r="O125" s="96"/>
      <c r="P125" s="96"/>
      <c r="R125" s="4"/>
      <c r="S125" s="4"/>
      <c r="T125" s="96"/>
      <c r="U125" s="96"/>
      <c r="V125" s="96"/>
    </row>
    <row r="126" spans="1:22" ht="15" customHeight="1" x14ac:dyDescent="0.3">
      <c r="C126" s="4"/>
      <c r="D126" s="4"/>
      <c r="E126" s="4"/>
      <c r="G126" s="4"/>
    </row>
    <row r="127" spans="1:22" ht="15" customHeight="1" x14ac:dyDescent="0.3">
      <c r="C127" s="4"/>
      <c r="D127" s="4"/>
      <c r="E127" s="4"/>
      <c r="G127" s="4"/>
      <c r="N127" s="96"/>
      <c r="O127" s="96"/>
      <c r="P127" s="96"/>
      <c r="T127" s="96"/>
      <c r="U127" s="96"/>
      <c r="V127" s="96"/>
    </row>
    <row r="129" spans="12:22" ht="15" customHeight="1" x14ac:dyDescent="0.3">
      <c r="L129" s="4"/>
      <c r="R129" s="4"/>
    </row>
    <row r="130" spans="12:22" ht="15" customHeight="1" x14ac:dyDescent="0.3">
      <c r="L130" s="4"/>
      <c r="M130" s="4"/>
      <c r="N130" s="96"/>
      <c r="O130" s="96"/>
      <c r="P130" s="96"/>
      <c r="R130" s="4"/>
      <c r="S130" s="4"/>
      <c r="T130" s="96"/>
      <c r="U130" s="96"/>
      <c r="V130" s="96"/>
    </row>
    <row r="131" spans="12:22" ht="15" customHeight="1" x14ac:dyDescent="0.3">
      <c r="L131" s="4"/>
      <c r="M131" s="4"/>
      <c r="N131" s="96"/>
      <c r="O131" s="96"/>
      <c r="P131" s="96"/>
      <c r="R131" s="4"/>
      <c r="S131" s="4"/>
      <c r="T131" s="96"/>
      <c r="U131" s="96"/>
      <c r="V131" s="96"/>
    </row>
    <row r="132" spans="12:22" ht="15" customHeight="1" x14ac:dyDescent="0.3">
      <c r="L132" s="4"/>
      <c r="M132" s="4"/>
      <c r="N132" s="96"/>
      <c r="O132" s="96"/>
      <c r="P132" s="96"/>
      <c r="R132" s="4"/>
      <c r="S132" s="4"/>
      <c r="T132" s="96"/>
      <c r="U132" s="96"/>
      <c r="V132" s="96"/>
    </row>
    <row r="134" spans="12:22" ht="15" customHeight="1" x14ac:dyDescent="0.3">
      <c r="N134" s="96"/>
      <c r="O134" s="96"/>
      <c r="P134" s="96"/>
      <c r="T134" s="96"/>
      <c r="U134" s="96"/>
      <c r="V134" s="96"/>
    </row>
  </sheetData>
  <mergeCells count="7">
    <mergeCell ref="B89:F89"/>
    <mergeCell ref="B104:E104"/>
    <mergeCell ref="B1:F1"/>
    <mergeCell ref="B16:F16"/>
    <mergeCell ref="B35:F35"/>
    <mergeCell ref="B62:F62"/>
    <mergeCell ref="B76:F76"/>
  </mergeCells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FACTURAS </vt:lpstr>
      <vt:lpstr>FLUJO</vt:lpstr>
      <vt:lpstr>ventas</vt:lpstr>
      <vt:lpstr>Stats</vt:lpstr>
      <vt:lpstr>Hoja1</vt:lpstr>
      <vt:lpstr>CONTABILIDAD </vt:lpstr>
      <vt:lpstr>CAJAS Y PROMOCIONES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Puerto Distribucion</cp:lastModifiedBy>
  <dcterms:created xsi:type="dcterms:W3CDTF">2025-08-27T00:27:37Z</dcterms:created>
  <dcterms:modified xsi:type="dcterms:W3CDTF">2026-01-09T12:16:25Z</dcterms:modified>
</cp:coreProperties>
</file>